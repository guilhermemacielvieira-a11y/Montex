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o" sheetId="1" state="visible" r:id="rId1"/>
    <sheet name="01_Cronometragem_W" sheetId="2" state="visible" r:id="rId2"/>
    <sheet name="02_Campo_Passos" sheetId="3" state="visible" r:id="rId3"/>
    <sheet name="03_Retoques_W5" sheetId="4" state="visible" r:id="rId4"/>
    <sheet name="04_Contadores" sheetId="5" state="visible" r:id="rId5"/>
    <sheet name="05_Transporte" sheetId="6" state="visible" r:id="rId6"/>
    <sheet name="06_Testes_N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C00000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3" max="3"/>
  </cols>
  <sheetData>
    <row r="1">
      <c r="A1" s="1" t="inlineStr">
        <is>
          <t>RESUMO DO PILOTO — calculado automaticamente</t>
        </is>
      </c>
    </row>
    <row r="3">
      <c r="A3" s="2" t="inlineStr">
        <is>
          <t>Takt fabrica casa A (min tot / 480)</t>
        </is>
      </c>
      <c r="C3">
        <f>SUMIFS('01_Cronometragem_W'!F:F,'01_Cronometragem_W'!A:A,"A")/480</f>
        <v/>
      </c>
    </row>
    <row r="4">
      <c r="A4" s="2" t="inlineStr">
        <is>
          <t>Takt fabrica casa B (dias de 480 min)</t>
        </is>
      </c>
      <c r="C4">
        <f>SUMIFS('01_Cronometragem_W'!F:F,'01_Cronometragem_W'!A:A,"B")/480</f>
        <v/>
      </c>
    </row>
    <row r="5">
      <c r="A5" s="2" t="inlineStr">
        <is>
          <t>Gargalo — media min na W2</t>
        </is>
      </c>
      <c r="C5">
        <f>IFERROR(AVERAGEIFS('01_Cronometragem_W'!F:F,'01_Cronometragem_W'!C:C,"W2"),"— aguardando dados")</f>
        <v/>
      </c>
    </row>
    <row r="6">
      <c r="A6" s="2" t="inlineStr">
        <is>
          <t>Campo casa A (dias)</t>
        </is>
      </c>
      <c r="C6">
        <f>SUMIFS('02_Campo_Passos'!E:E,'02_Campo_Passos'!A:A,"A")/480</f>
        <v/>
      </c>
    </row>
    <row r="7">
      <c r="A7" s="2" t="inlineStr">
        <is>
          <t>Campo casa B (dias)</t>
        </is>
      </c>
      <c r="C7">
        <f>SUMIFS('02_Campo_Passos'!E:E,'02_Campo_Passos'!A:A,"B")/480</f>
        <v/>
      </c>
    </row>
    <row r="8">
      <c r="A8" s="2" t="inlineStr">
        <is>
          <t>Retoques medios por parede (criterio &lt;=1)</t>
        </is>
      </c>
      <c r="C8">
        <f>IFERROR(AVERAGE('03_Retoques_W5'!C2:C33),"— aguardando dados")</f>
        <v/>
      </c>
    </row>
    <row r="9">
      <c r="A9" s="2" t="inlineStr">
        <is>
          <t>Kits com divergencia (criterio &lt;=2%)</t>
        </is>
      </c>
      <c r="C9">
        <f>COUNTIF('04_Contadores'!F2:F97,"&lt;&gt;0")-COUNTIF('04_Contadores'!F2:F97,"")</f>
        <v/>
      </c>
    </row>
    <row r="10">
      <c r="A10" s="2" t="inlineStr">
        <is>
          <t>g_max registrado (rota B)</t>
        </is>
      </c>
      <c r="C10">
        <f>MAX('05_Transporte'!C:E)</f>
        <v/>
      </c>
    </row>
    <row r="11">
      <c r="A11" s="2" t="inlineStr">
        <is>
          <t>Status C3 estanqueidade</t>
        </is>
      </c>
      <c r="C11" t="inlineStr">
        <is>
          <t>(manual: GO/NO-GO da aba 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</cols>
  <sheetData>
    <row r="1">
      <c r="A1" s="3" t="inlineStr">
        <is>
          <t>Casa</t>
        </is>
      </c>
      <c r="B1" s="3" t="inlineStr">
        <is>
          <t>SKU</t>
        </is>
      </c>
      <c r="C1" s="3" t="inlineStr">
        <is>
          <t>Estacao</t>
        </is>
      </c>
      <c r="D1" s="3" t="inlineStr">
        <is>
          <t>Inicio (scan)</t>
        </is>
      </c>
      <c r="E1" s="3" t="inlineStr">
        <is>
          <t>Fim (scan)</t>
        </is>
      </c>
      <c r="F1" s="3" t="inlineStr">
        <is>
          <t>Minutos</t>
        </is>
      </c>
      <c r="G1" s="3" t="inlineStr">
        <is>
          <t>Operador</t>
        </is>
      </c>
      <c r="H1" s="3" t="inlineStr">
        <is>
          <t>Obs</t>
        </is>
      </c>
    </row>
    <row r="2">
      <c r="A2" t="inlineStr">
        <is>
          <t>A</t>
        </is>
      </c>
      <c r="B2" t="inlineStr">
        <is>
          <t>F4-A</t>
        </is>
      </c>
      <c r="C2" t="inlineStr">
        <is>
          <t>W1</t>
        </is>
      </c>
      <c r="F2">
        <f>IF(AND(D2&lt;&gt;"",E2&lt;&gt;""),(E2-D2)*1440,"")</f>
        <v/>
      </c>
    </row>
    <row r="3">
      <c r="A3" t="inlineStr">
        <is>
          <t>A</t>
        </is>
      </c>
      <c r="B3" t="inlineStr">
        <is>
          <t>F4-A</t>
        </is>
      </c>
      <c r="C3" t="inlineStr">
        <is>
          <t>W2</t>
        </is>
      </c>
      <c r="F3">
        <f>IF(AND(D3&lt;&gt;"",E3&lt;&gt;""),(E3-D3)*1440,"")</f>
        <v/>
      </c>
    </row>
    <row r="4">
      <c r="A4" t="inlineStr">
        <is>
          <t>A</t>
        </is>
      </c>
      <c r="B4" t="inlineStr">
        <is>
          <t>F4-A</t>
        </is>
      </c>
      <c r="C4" t="inlineStr">
        <is>
          <t>W3</t>
        </is>
      </c>
      <c r="F4">
        <f>IF(AND(D4&lt;&gt;"",E4&lt;&gt;""),(E4-D4)*1440,"")</f>
        <v/>
      </c>
    </row>
    <row r="5">
      <c r="A5" t="inlineStr">
        <is>
          <t>A</t>
        </is>
      </c>
      <c r="B5" t="inlineStr">
        <is>
          <t>F4-A</t>
        </is>
      </c>
      <c r="C5" t="inlineStr">
        <is>
          <t>W4</t>
        </is>
      </c>
      <c r="F5">
        <f>IF(AND(D5&lt;&gt;"",E5&lt;&gt;""),(E5-D5)*1440,"")</f>
        <v/>
      </c>
    </row>
    <row r="6">
      <c r="A6" t="inlineStr">
        <is>
          <t>A</t>
        </is>
      </c>
      <c r="B6" t="inlineStr">
        <is>
          <t>F4-A</t>
        </is>
      </c>
      <c r="C6" t="inlineStr">
        <is>
          <t>W5</t>
        </is>
      </c>
      <c r="F6">
        <f>IF(AND(D6&lt;&gt;"",E6&lt;&gt;""),(E6-D6)*1440,"")</f>
        <v/>
      </c>
    </row>
    <row r="7">
      <c r="A7" t="inlineStr">
        <is>
          <t>A</t>
        </is>
      </c>
      <c r="B7" t="inlineStr">
        <is>
          <t>F4-A</t>
        </is>
      </c>
      <c r="C7" t="inlineStr">
        <is>
          <t>W6</t>
        </is>
      </c>
      <c r="F7">
        <f>IF(AND(D7&lt;&gt;"",E7&lt;&gt;""),(E7-D7)*1440,"")</f>
        <v/>
      </c>
    </row>
    <row r="8">
      <c r="A8" t="inlineStr">
        <is>
          <t>A</t>
        </is>
      </c>
      <c r="B8" t="inlineStr">
        <is>
          <t>F1</t>
        </is>
      </c>
      <c r="C8" t="inlineStr">
        <is>
          <t>W1</t>
        </is>
      </c>
      <c r="F8">
        <f>IF(AND(D8&lt;&gt;"",E8&lt;&gt;""),(E8-D8)*1440,"")</f>
        <v/>
      </c>
    </row>
    <row r="9">
      <c r="A9" t="inlineStr">
        <is>
          <t>A</t>
        </is>
      </c>
      <c r="B9" t="inlineStr">
        <is>
          <t>F1</t>
        </is>
      </c>
      <c r="C9" t="inlineStr">
        <is>
          <t>W2</t>
        </is>
      </c>
      <c r="F9">
        <f>IF(AND(D9&lt;&gt;"",E9&lt;&gt;""),(E9-D9)*1440,"")</f>
        <v/>
      </c>
    </row>
    <row r="10">
      <c r="A10" t="inlineStr">
        <is>
          <t>A</t>
        </is>
      </c>
      <c r="B10" t="inlineStr">
        <is>
          <t>F1</t>
        </is>
      </c>
      <c r="C10" t="inlineStr">
        <is>
          <t>W3</t>
        </is>
      </c>
      <c r="F10">
        <f>IF(AND(D10&lt;&gt;"",E10&lt;&gt;""),(E10-D10)*1440,"")</f>
        <v/>
      </c>
    </row>
    <row r="11">
      <c r="A11" t="inlineStr">
        <is>
          <t>A</t>
        </is>
      </c>
      <c r="B11" t="inlineStr">
        <is>
          <t>F1</t>
        </is>
      </c>
      <c r="C11" t="inlineStr">
        <is>
          <t>W4</t>
        </is>
      </c>
      <c r="F11">
        <f>IF(AND(D11&lt;&gt;"",E11&lt;&gt;""),(E11-D11)*1440,"")</f>
        <v/>
      </c>
    </row>
    <row r="12">
      <c r="A12" t="inlineStr">
        <is>
          <t>A</t>
        </is>
      </c>
      <c r="B12" t="inlineStr">
        <is>
          <t>F1</t>
        </is>
      </c>
      <c r="C12" t="inlineStr">
        <is>
          <t>W5</t>
        </is>
      </c>
      <c r="F12">
        <f>IF(AND(D12&lt;&gt;"",E12&lt;&gt;""),(E12-D12)*1440,"")</f>
        <v/>
      </c>
    </row>
    <row r="13">
      <c r="A13" t="inlineStr">
        <is>
          <t>A</t>
        </is>
      </c>
      <c r="B13" t="inlineStr">
        <is>
          <t>F1</t>
        </is>
      </c>
      <c r="C13" t="inlineStr">
        <is>
          <t>W6</t>
        </is>
      </c>
      <c r="F13">
        <f>IF(AND(D13&lt;&gt;"",E13&lt;&gt;""),(E13-D13)*1440,"")</f>
        <v/>
      </c>
    </row>
    <row r="14">
      <c r="A14" t="inlineStr">
        <is>
          <t>A</t>
        </is>
      </c>
      <c r="B14" t="inlineStr">
        <is>
          <t>F3-A</t>
        </is>
      </c>
      <c r="C14" t="inlineStr">
        <is>
          <t>W1</t>
        </is>
      </c>
      <c r="F14">
        <f>IF(AND(D14&lt;&gt;"",E14&lt;&gt;""),(E14-D14)*1440,"")</f>
        <v/>
      </c>
    </row>
    <row r="15">
      <c r="A15" t="inlineStr">
        <is>
          <t>A</t>
        </is>
      </c>
      <c r="B15" t="inlineStr">
        <is>
          <t>F3-A</t>
        </is>
      </c>
      <c r="C15" t="inlineStr">
        <is>
          <t>W2</t>
        </is>
      </c>
      <c r="F15">
        <f>IF(AND(D15&lt;&gt;"",E15&lt;&gt;""),(E15-D15)*1440,"")</f>
        <v/>
      </c>
    </row>
    <row r="16">
      <c r="A16" t="inlineStr">
        <is>
          <t>A</t>
        </is>
      </c>
      <c r="B16" t="inlineStr">
        <is>
          <t>F3-A</t>
        </is>
      </c>
      <c r="C16" t="inlineStr">
        <is>
          <t>W3</t>
        </is>
      </c>
      <c r="F16">
        <f>IF(AND(D16&lt;&gt;"",E16&lt;&gt;""),(E16-D16)*1440,"")</f>
        <v/>
      </c>
    </row>
    <row r="17">
      <c r="A17" t="inlineStr">
        <is>
          <t>A</t>
        </is>
      </c>
      <c r="B17" t="inlineStr">
        <is>
          <t>F3-A</t>
        </is>
      </c>
      <c r="C17" t="inlineStr">
        <is>
          <t>W4</t>
        </is>
      </c>
      <c r="F17">
        <f>IF(AND(D17&lt;&gt;"",E17&lt;&gt;""),(E17-D17)*1440,"")</f>
        <v/>
      </c>
    </row>
    <row r="18">
      <c r="A18" t="inlineStr">
        <is>
          <t>A</t>
        </is>
      </c>
      <c r="B18" t="inlineStr">
        <is>
          <t>F3-A</t>
        </is>
      </c>
      <c r="C18" t="inlineStr">
        <is>
          <t>W5</t>
        </is>
      </c>
      <c r="F18">
        <f>IF(AND(D18&lt;&gt;"",E18&lt;&gt;""),(E18-D18)*1440,"")</f>
        <v/>
      </c>
    </row>
    <row r="19">
      <c r="A19" t="inlineStr">
        <is>
          <t>A</t>
        </is>
      </c>
      <c r="B19" t="inlineStr">
        <is>
          <t>F3-A</t>
        </is>
      </c>
      <c r="C19" t="inlineStr">
        <is>
          <t>W6</t>
        </is>
      </c>
      <c r="F19">
        <f>IF(AND(D19&lt;&gt;"",E19&lt;&gt;""),(E19-D19)*1440,"")</f>
        <v/>
      </c>
    </row>
    <row r="20">
      <c r="A20" t="inlineStr">
        <is>
          <t>A</t>
        </is>
      </c>
      <c r="B20" t="inlineStr">
        <is>
          <t>F5-A</t>
        </is>
      </c>
      <c r="C20" t="inlineStr">
        <is>
          <t>W1</t>
        </is>
      </c>
      <c r="F20">
        <f>IF(AND(D20&lt;&gt;"",E20&lt;&gt;""),(E20-D20)*1440,"")</f>
        <v/>
      </c>
    </row>
    <row r="21">
      <c r="A21" t="inlineStr">
        <is>
          <t>A</t>
        </is>
      </c>
      <c r="B21" t="inlineStr">
        <is>
          <t>F5-A</t>
        </is>
      </c>
      <c r="C21" t="inlineStr">
        <is>
          <t>W2</t>
        </is>
      </c>
      <c r="F21">
        <f>IF(AND(D21&lt;&gt;"",E21&lt;&gt;""),(E21-D21)*1440,"")</f>
        <v/>
      </c>
    </row>
    <row r="22">
      <c r="A22" t="inlineStr">
        <is>
          <t>A</t>
        </is>
      </c>
      <c r="B22" t="inlineStr">
        <is>
          <t>F5-A</t>
        </is>
      </c>
      <c r="C22" t="inlineStr">
        <is>
          <t>W3</t>
        </is>
      </c>
      <c r="F22">
        <f>IF(AND(D22&lt;&gt;"",E22&lt;&gt;""),(E22-D22)*1440,"")</f>
        <v/>
      </c>
    </row>
    <row r="23">
      <c r="A23" t="inlineStr">
        <is>
          <t>A</t>
        </is>
      </c>
      <c r="B23" t="inlineStr">
        <is>
          <t>F5-A</t>
        </is>
      </c>
      <c r="C23" t="inlineStr">
        <is>
          <t>W4</t>
        </is>
      </c>
      <c r="F23">
        <f>IF(AND(D23&lt;&gt;"",E23&lt;&gt;""),(E23-D23)*1440,"")</f>
        <v/>
      </c>
    </row>
    <row r="24">
      <c r="A24" t="inlineStr">
        <is>
          <t>A</t>
        </is>
      </c>
      <c r="B24" t="inlineStr">
        <is>
          <t>F5-A</t>
        </is>
      </c>
      <c r="C24" t="inlineStr">
        <is>
          <t>W5</t>
        </is>
      </c>
      <c r="F24">
        <f>IF(AND(D24&lt;&gt;"",E24&lt;&gt;""),(E24-D24)*1440,"")</f>
        <v/>
      </c>
    </row>
    <row r="25">
      <c r="A25" t="inlineStr">
        <is>
          <t>A</t>
        </is>
      </c>
      <c r="B25" t="inlineStr">
        <is>
          <t>F5-A</t>
        </is>
      </c>
      <c r="C25" t="inlineStr">
        <is>
          <t>W6</t>
        </is>
      </c>
      <c r="F25">
        <f>IF(AND(D25&lt;&gt;"",E25&lt;&gt;""),(E25-D25)*1440,"")</f>
        <v/>
      </c>
    </row>
    <row r="26">
      <c r="A26" t="inlineStr">
        <is>
          <t>A</t>
        </is>
      </c>
      <c r="B26" t="inlineStr">
        <is>
          <t>JUNTA-A</t>
        </is>
      </c>
      <c r="C26" t="inlineStr">
        <is>
          <t>W1</t>
        </is>
      </c>
      <c r="F26">
        <f>IF(AND(D26&lt;&gt;"",E26&lt;&gt;""),(E26-D26)*1440,"")</f>
        <v/>
      </c>
    </row>
    <row r="27">
      <c r="A27" t="inlineStr">
        <is>
          <t>A</t>
        </is>
      </c>
      <c r="B27" t="inlineStr">
        <is>
          <t>JUNTA-A</t>
        </is>
      </c>
      <c r="C27" t="inlineStr">
        <is>
          <t>W2</t>
        </is>
      </c>
      <c r="F27">
        <f>IF(AND(D27&lt;&gt;"",E27&lt;&gt;""),(E27-D27)*1440,"")</f>
        <v/>
      </c>
    </row>
    <row r="28">
      <c r="A28" t="inlineStr">
        <is>
          <t>A</t>
        </is>
      </c>
      <c r="B28" t="inlineStr">
        <is>
          <t>JUNTA-A</t>
        </is>
      </c>
      <c r="C28" t="inlineStr">
        <is>
          <t>W3</t>
        </is>
      </c>
      <c r="F28">
        <f>IF(AND(D28&lt;&gt;"",E28&lt;&gt;""),(E28-D28)*1440,"")</f>
        <v/>
      </c>
    </row>
    <row r="29">
      <c r="A29" t="inlineStr">
        <is>
          <t>A</t>
        </is>
      </c>
      <c r="B29" t="inlineStr">
        <is>
          <t>JUNTA-A</t>
        </is>
      </c>
      <c r="C29" t="inlineStr">
        <is>
          <t>W4</t>
        </is>
      </c>
      <c r="F29">
        <f>IF(AND(D29&lt;&gt;"",E29&lt;&gt;""),(E29-D29)*1440,"")</f>
        <v/>
      </c>
    </row>
    <row r="30">
      <c r="A30" t="inlineStr">
        <is>
          <t>A</t>
        </is>
      </c>
      <c r="B30" t="inlineStr">
        <is>
          <t>JUNTA-A</t>
        </is>
      </c>
      <c r="C30" t="inlineStr">
        <is>
          <t>W5</t>
        </is>
      </c>
      <c r="F30">
        <f>IF(AND(D30&lt;&gt;"",E30&lt;&gt;""),(E30-D30)*1440,"")</f>
        <v/>
      </c>
    </row>
    <row r="31">
      <c r="A31" t="inlineStr">
        <is>
          <t>A</t>
        </is>
      </c>
      <c r="B31" t="inlineStr">
        <is>
          <t>JUNTA-A</t>
        </is>
      </c>
      <c r="C31" t="inlineStr">
        <is>
          <t>W6</t>
        </is>
      </c>
      <c r="F31">
        <f>IF(AND(D31&lt;&gt;"",E31&lt;&gt;""),(E31-D31)*1440,"")</f>
        <v/>
      </c>
    </row>
    <row r="32">
      <c r="A32" t="inlineStr">
        <is>
          <t>A</t>
        </is>
      </c>
      <c r="B32" t="inlineStr">
        <is>
          <t>IA1</t>
        </is>
      </c>
      <c r="C32" t="inlineStr">
        <is>
          <t>W1</t>
        </is>
      </c>
      <c r="F32">
        <f>IF(AND(D32&lt;&gt;"",E32&lt;&gt;""),(E32-D32)*1440,"")</f>
        <v/>
      </c>
    </row>
    <row r="33">
      <c r="A33" t="inlineStr">
        <is>
          <t>A</t>
        </is>
      </c>
      <c r="B33" t="inlineStr">
        <is>
          <t>IA1</t>
        </is>
      </c>
      <c r="C33" t="inlineStr">
        <is>
          <t>W2</t>
        </is>
      </c>
      <c r="F33">
        <f>IF(AND(D33&lt;&gt;"",E33&lt;&gt;""),(E33-D33)*1440,"")</f>
        <v/>
      </c>
    </row>
    <row r="34">
      <c r="A34" t="inlineStr">
        <is>
          <t>A</t>
        </is>
      </c>
      <c r="B34" t="inlineStr">
        <is>
          <t>IA1</t>
        </is>
      </c>
      <c r="C34" t="inlineStr">
        <is>
          <t>W3</t>
        </is>
      </c>
      <c r="F34">
        <f>IF(AND(D34&lt;&gt;"",E34&lt;&gt;""),(E34-D34)*1440,"")</f>
        <v/>
      </c>
    </row>
    <row r="35">
      <c r="A35" t="inlineStr">
        <is>
          <t>A</t>
        </is>
      </c>
      <c r="B35" t="inlineStr">
        <is>
          <t>IA1</t>
        </is>
      </c>
      <c r="C35" t="inlineStr">
        <is>
          <t>W4</t>
        </is>
      </c>
      <c r="F35">
        <f>IF(AND(D35&lt;&gt;"",E35&lt;&gt;""),(E35-D35)*1440,"")</f>
        <v/>
      </c>
    </row>
    <row r="36">
      <c r="A36" t="inlineStr">
        <is>
          <t>A</t>
        </is>
      </c>
      <c r="B36" t="inlineStr">
        <is>
          <t>IA1</t>
        </is>
      </c>
      <c r="C36" t="inlineStr">
        <is>
          <t>W5</t>
        </is>
      </c>
      <c r="F36">
        <f>IF(AND(D36&lt;&gt;"",E36&lt;&gt;""),(E36-D36)*1440,"")</f>
        <v/>
      </c>
    </row>
    <row r="37">
      <c r="A37" t="inlineStr">
        <is>
          <t>A</t>
        </is>
      </c>
      <c r="B37" t="inlineStr">
        <is>
          <t>IA1</t>
        </is>
      </c>
      <c r="C37" t="inlineStr">
        <is>
          <t>W6</t>
        </is>
      </c>
      <c r="F37">
        <f>IF(AND(D37&lt;&gt;"",E37&lt;&gt;""),(E37-D37)*1440,"")</f>
        <v/>
      </c>
    </row>
    <row r="38">
      <c r="A38" t="inlineStr">
        <is>
          <t>A</t>
        </is>
      </c>
      <c r="B38" t="inlineStr">
        <is>
          <t>IA2</t>
        </is>
      </c>
      <c r="C38" t="inlineStr">
        <is>
          <t>W1</t>
        </is>
      </c>
      <c r="F38">
        <f>IF(AND(D38&lt;&gt;"",E38&lt;&gt;""),(E38-D38)*1440,"")</f>
        <v/>
      </c>
    </row>
    <row r="39">
      <c r="A39" t="inlineStr">
        <is>
          <t>A</t>
        </is>
      </c>
      <c r="B39" t="inlineStr">
        <is>
          <t>IA2</t>
        </is>
      </c>
      <c r="C39" t="inlineStr">
        <is>
          <t>W2</t>
        </is>
      </c>
      <c r="F39">
        <f>IF(AND(D39&lt;&gt;"",E39&lt;&gt;""),(E39-D39)*1440,"")</f>
        <v/>
      </c>
    </row>
    <row r="40">
      <c r="A40" t="inlineStr">
        <is>
          <t>A</t>
        </is>
      </c>
      <c r="B40" t="inlineStr">
        <is>
          <t>IA2</t>
        </is>
      </c>
      <c r="C40" t="inlineStr">
        <is>
          <t>W3</t>
        </is>
      </c>
      <c r="F40">
        <f>IF(AND(D40&lt;&gt;"",E40&lt;&gt;""),(E40-D40)*1440,"")</f>
        <v/>
      </c>
    </row>
    <row r="41">
      <c r="A41" t="inlineStr">
        <is>
          <t>A</t>
        </is>
      </c>
      <c r="B41" t="inlineStr">
        <is>
          <t>IA2</t>
        </is>
      </c>
      <c r="C41" t="inlineStr">
        <is>
          <t>W4</t>
        </is>
      </c>
      <c r="F41">
        <f>IF(AND(D41&lt;&gt;"",E41&lt;&gt;""),(E41-D41)*1440,"")</f>
        <v/>
      </c>
    </row>
    <row r="42">
      <c r="A42" t="inlineStr">
        <is>
          <t>A</t>
        </is>
      </c>
      <c r="B42" t="inlineStr">
        <is>
          <t>IA2</t>
        </is>
      </c>
      <c r="C42" t="inlineStr">
        <is>
          <t>W5</t>
        </is>
      </c>
      <c r="F42">
        <f>IF(AND(D42&lt;&gt;"",E42&lt;&gt;""),(E42-D42)*1440,"")</f>
        <v/>
      </c>
    </row>
    <row r="43">
      <c r="A43" t="inlineStr">
        <is>
          <t>A</t>
        </is>
      </c>
      <c r="B43" t="inlineStr">
        <is>
          <t>IA2</t>
        </is>
      </c>
      <c r="C43" t="inlineStr">
        <is>
          <t>W6</t>
        </is>
      </c>
      <c r="F43">
        <f>IF(AND(D43&lt;&gt;"",E43&lt;&gt;""),(E43-D43)*1440,"")</f>
        <v/>
      </c>
    </row>
    <row r="44">
      <c r="A44" t="inlineStr">
        <is>
          <t>A</t>
        </is>
      </c>
      <c r="B44" t="inlineStr">
        <is>
          <t>IAN</t>
        </is>
      </c>
      <c r="C44" t="inlineStr">
        <is>
          <t>W1</t>
        </is>
      </c>
      <c r="F44">
        <f>IF(AND(D44&lt;&gt;"",E44&lt;&gt;""),(E44-D44)*1440,"")</f>
        <v/>
      </c>
    </row>
    <row r="45">
      <c r="A45" t="inlineStr">
        <is>
          <t>A</t>
        </is>
      </c>
      <c r="B45" t="inlineStr">
        <is>
          <t>IAN</t>
        </is>
      </c>
      <c r="C45" t="inlineStr">
        <is>
          <t>W2</t>
        </is>
      </c>
      <c r="F45">
        <f>IF(AND(D45&lt;&gt;"",E45&lt;&gt;""),(E45-D45)*1440,"")</f>
        <v/>
      </c>
    </row>
    <row r="46">
      <c r="A46" t="inlineStr">
        <is>
          <t>A</t>
        </is>
      </c>
      <c r="B46" t="inlineStr">
        <is>
          <t>IAN</t>
        </is>
      </c>
      <c r="C46" t="inlineStr">
        <is>
          <t>W3</t>
        </is>
      </c>
      <c r="F46">
        <f>IF(AND(D46&lt;&gt;"",E46&lt;&gt;""),(E46-D46)*1440,"")</f>
        <v/>
      </c>
    </row>
    <row r="47">
      <c r="A47" t="inlineStr">
        <is>
          <t>A</t>
        </is>
      </c>
      <c r="B47" t="inlineStr">
        <is>
          <t>IAN</t>
        </is>
      </c>
      <c r="C47" t="inlineStr">
        <is>
          <t>W4</t>
        </is>
      </c>
      <c r="F47">
        <f>IF(AND(D47&lt;&gt;"",E47&lt;&gt;""),(E47-D47)*1440,"")</f>
        <v/>
      </c>
    </row>
    <row r="48">
      <c r="A48" t="inlineStr">
        <is>
          <t>A</t>
        </is>
      </c>
      <c r="B48" t="inlineStr">
        <is>
          <t>IAN</t>
        </is>
      </c>
      <c r="C48" t="inlineStr">
        <is>
          <t>W5</t>
        </is>
      </c>
      <c r="F48">
        <f>IF(AND(D48&lt;&gt;"",E48&lt;&gt;""),(E48-D48)*1440,"")</f>
        <v/>
      </c>
    </row>
    <row r="49">
      <c r="A49" t="inlineStr">
        <is>
          <t>A</t>
        </is>
      </c>
      <c r="B49" t="inlineStr">
        <is>
          <t>IAN</t>
        </is>
      </c>
      <c r="C49" t="inlineStr">
        <is>
          <t>W6</t>
        </is>
      </c>
      <c r="F49">
        <f>IF(AND(D49&lt;&gt;"",E49&lt;&gt;""),(E49-D49)*1440,"")</f>
        <v/>
      </c>
    </row>
    <row r="50">
      <c r="A50" t="inlineStr">
        <is>
          <t>A</t>
        </is>
      </c>
      <c r="B50" t="inlineStr">
        <is>
          <t>F4-B</t>
        </is>
      </c>
      <c r="C50" t="inlineStr">
        <is>
          <t>W1</t>
        </is>
      </c>
      <c r="F50">
        <f>IF(AND(D50&lt;&gt;"",E50&lt;&gt;""),(E50-D50)*1440,"")</f>
        <v/>
      </c>
    </row>
    <row r="51">
      <c r="A51" t="inlineStr">
        <is>
          <t>A</t>
        </is>
      </c>
      <c r="B51" t="inlineStr">
        <is>
          <t>F4-B</t>
        </is>
      </c>
      <c r="C51" t="inlineStr">
        <is>
          <t>W2</t>
        </is>
      </c>
      <c r="F51">
        <f>IF(AND(D51&lt;&gt;"",E51&lt;&gt;""),(E51-D51)*1440,"")</f>
        <v/>
      </c>
    </row>
    <row r="52">
      <c r="A52" t="inlineStr">
        <is>
          <t>A</t>
        </is>
      </c>
      <c r="B52" t="inlineStr">
        <is>
          <t>F4-B</t>
        </is>
      </c>
      <c r="C52" t="inlineStr">
        <is>
          <t>W3</t>
        </is>
      </c>
      <c r="F52">
        <f>IF(AND(D52&lt;&gt;"",E52&lt;&gt;""),(E52-D52)*1440,"")</f>
        <v/>
      </c>
    </row>
    <row r="53">
      <c r="A53" t="inlineStr">
        <is>
          <t>A</t>
        </is>
      </c>
      <c r="B53" t="inlineStr">
        <is>
          <t>F4-B</t>
        </is>
      </c>
      <c r="C53" t="inlineStr">
        <is>
          <t>W4</t>
        </is>
      </c>
      <c r="F53">
        <f>IF(AND(D53&lt;&gt;"",E53&lt;&gt;""),(E53-D53)*1440,"")</f>
        <v/>
      </c>
    </row>
    <row r="54">
      <c r="A54" t="inlineStr">
        <is>
          <t>A</t>
        </is>
      </c>
      <c r="B54" t="inlineStr">
        <is>
          <t>F4-B</t>
        </is>
      </c>
      <c r="C54" t="inlineStr">
        <is>
          <t>W5</t>
        </is>
      </c>
      <c r="F54">
        <f>IF(AND(D54&lt;&gt;"",E54&lt;&gt;""),(E54-D54)*1440,"")</f>
        <v/>
      </c>
    </row>
    <row r="55">
      <c r="A55" t="inlineStr">
        <is>
          <t>A</t>
        </is>
      </c>
      <c r="B55" t="inlineStr">
        <is>
          <t>F4-B</t>
        </is>
      </c>
      <c r="C55" t="inlineStr">
        <is>
          <t>W6</t>
        </is>
      </c>
      <c r="F55">
        <f>IF(AND(D55&lt;&gt;"",E55&lt;&gt;""),(E55-D55)*1440,"")</f>
        <v/>
      </c>
    </row>
    <row r="56">
      <c r="A56" t="inlineStr">
        <is>
          <t>A</t>
        </is>
      </c>
      <c r="B56" t="inlineStr">
        <is>
          <t>F2</t>
        </is>
      </c>
      <c r="C56" t="inlineStr">
        <is>
          <t>W1</t>
        </is>
      </c>
      <c r="F56">
        <f>IF(AND(D56&lt;&gt;"",E56&lt;&gt;""),(E56-D56)*1440,"")</f>
        <v/>
      </c>
    </row>
    <row r="57">
      <c r="A57" t="inlineStr">
        <is>
          <t>A</t>
        </is>
      </c>
      <c r="B57" t="inlineStr">
        <is>
          <t>F2</t>
        </is>
      </c>
      <c r="C57" t="inlineStr">
        <is>
          <t>W2</t>
        </is>
      </c>
      <c r="F57">
        <f>IF(AND(D57&lt;&gt;"",E57&lt;&gt;""),(E57-D57)*1440,"")</f>
        <v/>
      </c>
    </row>
    <row r="58">
      <c r="A58" t="inlineStr">
        <is>
          <t>A</t>
        </is>
      </c>
      <c r="B58" t="inlineStr">
        <is>
          <t>F2</t>
        </is>
      </c>
      <c r="C58" t="inlineStr">
        <is>
          <t>W3</t>
        </is>
      </c>
      <c r="F58">
        <f>IF(AND(D58&lt;&gt;"",E58&lt;&gt;""),(E58-D58)*1440,"")</f>
        <v/>
      </c>
    </row>
    <row r="59">
      <c r="A59" t="inlineStr">
        <is>
          <t>A</t>
        </is>
      </c>
      <c r="B59" t="inlineStr">
        <is>
          <t>F2</t>
        </is>
      </c>
      <c r="C59" t="inlineStr">
        <is>
          <t>W4</t>
        </is>
      </c>
      <c r="F59">
        <f>IF(AND(D59&lt;&gt;"",E59&lt;&gt;""),(E59-D59)*1440,"")</f>
        <v/>
      </c>
    </row>
    <row r="60">
      <c r="A60" t="inlineStr">
        <is>
          <t>A</t>
        </is>
      </c>
      <c r="B60" t="inlineStr">
        <is>
          <t>F2</t>
        </is>
      </c>
      <c r="C60" t="inlineStr">
        <is>
          <t>W5</t>
        </is>
      </c>
      <c r="F60">
        <f>IF(AND(D60&lt;&gt;"",E60&lt;&gt;""),(E60-D60)*1440,"")</f>
        <v/>
      </c>
    </row>
    <row r="61">
      <c r="A61" t="inlineStr">
        <is>
          <t>A</t>
        </is>
      </c>
      <c r="B61" t="inlineStr">
        <is>
          <t>F2</t>
        </is>
      </c>
      <c r="C61" t="inlineStr">
        <is>
          <t>W6</t>
        </is>
      </c>
      <c r="F61">
        <f>IF(AND(D61&lt;&gt;"",E61&lt;&gt;""),(E61-D61)*1440,"")</f>
        <v/>
      </c>
    </row>
    <row r="62">
      <c r="A62" t="inlineStr">
        <is>
          <t>A</t>
        </is>
      </c>
      <c r="B62" t="inlineStr">
        <is>
          <t>F3-B</t>
        </is>
      </c>
      <c r="C62" t="inlineStr">
        <is>
          <t>W1</t>
        </is>
      </c>
      <c r="F62">
        <f>IF(AND(D62&lt;&gt;"",E62&lt;&gt;""),(E62-D62)*1440,"")</f>
        <v/>
      </c>
    </row>
    <row r="63">
      <c r="A63" t="inlineStr">
        <is>
          <t>A</t>
        </is>
      </c>
      <c r="B63" t="inlineStr">
        <is>
          <t>F3-B</t>
        </is>
      </c>
      <c r="C63" t="inlineStr">
        <is>
          <t>W2</t>
        </is>
      </c>
      <c r="F63">
        <f>IF(AND(D63&lt;&gt;"",E63&lt;&gt;""),(E63-D63)*1440,"")</f>
        <v/>
      </c>
    </row>
    <row r="64">
      <c r="A64" t="inlineStr">
        <is>
          <t>A</t>
        </is>
      </c>
      <c r="B64" t="inlineStr">
        <is>
          <t>F3-B</t>
        </is>
      </c>
      <c r="C64" t="inlineStr">
        <is>
          <t>W3</t>
        </is>
      </c>
      <c r="F64">
        <f>IF(AND(D64&lt;&gt;"",E64&lt;&gt;""),(E64-D64)*1440,"")</f>
        <v/>
      </c>
    </row>
    <row r="65">
      <c r="A65" t="inlineStr">
        <is>
          <t>A</t>
        </is>
      </c>
      <c r="B65" t="inlineStr">
        <is>
          <t>F3-B</t>
        </is>
      </c>
      <c r="C65" t="inlineStr">
        <is>
          <t>W4</t>
        </is>
      </c>
      <c r="F65">
        <f>IF(AND(D65&lt;&gt;"",E65&lt;&gt;""),(E65-D65)*1440,"")</f>
        <v/>
      </c>
    </row>
    <row r="66">
      <c r="A66" t="inlineStr">
        <is>
          <t>A</t>
        </is>
      </c>
      <c r="B66" t="inlineStr">
        <is>
          <t>F3-B</t>
        </is>
      </c>
      <c r="C66" t="inlineStr">
        <is>
          <t>W5</t>
        </is>
      </c>
      <c r="F66">
        <f>IF(AND(D66&lt;&gt;"",E66&lt;&gt;""),(E66-D66)*1440,"")</f>
        <v/>
      </c>
    </row>
    <row r="67">
      <c r="A67" t="inlineStr">
        <is>
          <t>A</t>
        </is>
      </c>
      <c r="B67" t="inlineStr">
        <is>
          <t>F3-B</t>
        </is>
      </c>
      <c r="C67" t="inlineStr">
        <is>
          <t>W6</t>
        </is>
      </c>
      <c r="F67">
        <f>IF(AND(D67&lt;&gt;"",E67&lt;&gt;""),(E67-D67)*1440,"")</f>
        <v/>
      </c>
    </row>
    <row r="68">
      <c r="A68" t="inlineStr">
        <is>
          <t>A</t>
        </is>
      </c>
      <c r="B68" t="inlineStr">
        <is>
          <t>F5-B</t>
        </is>
      </c>
      <c r="C68" t="inlineStr">
        <is>
          <t>W1</t>
        </is>
      </c>
      <c r="F68">
        <f>IF(AND(D68&lt;&gt;"",E68&lt;&gt;""),(E68-D68)*1440,"")</f>
        <v/>
      </c>
    </row>
    <row r="69">
      <c r="A69" t="inlineStr">
        <is>
          <t>A</t>
        </is>
      </c>
      <c r="B69" t="inlineStr">
        <is>
          <t>F5-B</t>
        </is>
      </c>
      <c r="C69" t="inlineStr">
        <is>
          <t>W2</t>
        </is>
      </c>
      <c r="F69">
        <f>IF(AND(D69&lt;&gt;"",E69&lt;&gt;""),(E69-D69)*1440,"")</f>
        <v/>
      </c>
    </row>
    <row r="70">
      <c r="A70" t="inlineStr">
        <is>
          <t>A</t>
        </is>
      </c>
      <c r="B70" t="inlineStr">
        <is>
          <t>F5-B</t>
        </is>
      </c>
      <c r="C70" t="inlineStr">
        <is>
          <t>W3</t>
        </is>
      </c>
      <c r="F70">
        <f>IF(AND(D70&lt;&gt;"",E70&lt;&gt;""),(E70-D70)*1440,"")</f>
        <v/>
      </c>
    </row>
    <row r="71">
      <c r="A71" t="inlineStr">
        <is>
          <t>A</t>
        </is>
      </c>
      <c r="B71" t="inlineStr">
        <is>
          <t>F5-B</t>
        </is>
      </c>
      <c r="C71" t="inlineStr">
        <is>
          <t>W4</t>
        </is>
      </c>
      <c r="F71">
        <f>IF(AND(D71&lt;&gt;"",E71&lt;&gt;""),(E71-D71)*1440,"")</f>
        <v/>
      </c>
    </row>
    <row r="72">
      <c r="A72" t="inlineStr">
        <is>
          <t>A</t>
        </is>
      </c>
      <c r="B72" t="inlineStr">
        <is>
          <t>F5-B</t>
        </is>
      </c>
      <c r="C72" t="inlineStr">
        <is>
          <t>W5</t>
        </is>
      </c>
      <c r="F72">
        <f>IF(AND(D72&lt;&gt;"",E72&lt;&gt;""),(E72-D72)*1440,"")</f>
        <v/>
      </c>
    </row>
    <row r="73">
      <c r="A73" t="inlineStr">
        <is>
          <t>A</t>
        </is>
      </c>
      <c r="B73" t="inlineStr">
        <is>
          <t>F5-B</t>
        </is>
      </c>
      <c r="C73" t="inlineStr">
        <is>
          <t>W6</t>
        </is>
      </c>
      <c r="F73">
        <f>IF(AND(D73&lt;&gt;"",E73&lt;&gt;""),(E73-D73)*1440,"")</f>
        <v/>
      </c>
    </row>
    <row r="74">
      <c r="A74" t="inlineStr">
        <is>
          <t>A</t>
        </is>
      </c>
      <c r="B74" t="inlineStr">
        <is>
          <t>JUNTA-B</t>
        </is>
      </c>
      <c r="C74" t="inlineStr">
        <is>
          <t>W1</t>
        </is>
      </c>
      <c r="F74">
        <f>IF(AND(D74&lt;&gt;"",E74&lt;&gt;""),(E74-D74)*1440,"")</f>
        <v/>
      </c>
    </row>
    <row r="75">
      <c r="A75" t="inlineStr">
        <is>
          <t>A</t>
        </is>
      </c>
      <c r="B75" t="inlineStr">
        <is>
          <t>JUNTA-B</t>
        </is>
      </c>
      <c r="C75" t="inlineStr">
        <is>
          <t>W2</t>
        </is>
      </c>
      <c r="F75">
        <f>IF(AND(D75&lt;&gt;"",E75&lt;&gt;""),(E75-D75)*1440,"")</f>
        <v/>
      </c>
    </row>
    <row r="76">
      <c r="A76" t="inlineStr">
        <is>
          <t>A</t>
        </is>
      </c>
      <c r="B76" t="inlineStr">
        <is>
          <t>JUNTA-B</t>
        </is>
      </c>
      <c r="C76" t="inlineStr">
        <is>
          <t>W3</t>
        </is>
      </c>
      <c r="F76">
        <f>IF(AND(D76&lt;&gt;"",E76&lt;&gt;""),(E76-D76)*1440,"")</f>
        <v/>
      </c>
    </row>
    <row r="77">
      <c r="A77" t="inlineStr">
        <is>
          <t>A</t>
        </is>
      </c>
      <c r="B77" t="inlineStr">
        <is>
          <t>JUNTA-B</t>
        </is>
      </c>
      <c r="C77" t="inlineStr">
        <is>
          <t>W4</t>
        </is>
      </c>
      <c r="F77">
        <f>IF(AND(D77&lt;&gt;"",E77&lt;&gt;""),(E77-D77)*1440,"")</f>
        <v/>
      </c>
    </row>
    <row r="78">
      <c r="A78" t="inlineStr">
        <is>
          <t>A</t>
        </is>
      </c>
      <c r="B78" t="inlineStr">
        <is>
          <t>JUNTA-B</t>
        </is>
      </c>
      <c r="C78" t="inlineStr">
        <is>
          <t>W5</t>
        </is>
      </c>
      <c r="F78">
        <f>IF(AND(D78&lt;&gt;"",E78&lt;&gt;""),(E78-D78)*1440,"")</f>
        <v/>
      </c>
    </row>
    <row r="79">
      <c r="A79" t="inlineStr">
        <is>
          <t>A</t>
        </is>
      </c>
      <c r="B79" t="inlineStr">
        <is>
          <t>JUNTA-B</t>
        </is>
      </c>
      <c r="C79" t="inlineStr">
        <is>
          <t>W6</t>
        </is>
      </c>
      <c r="F79">
        <f>IF(AND(D79&lt;&gt;"",E79&lt;&gt;""),(E79-D79)*1440,"")</f>
        <v/>
      </c>
    </row>
    <row r="80">
      <c r="A80" t="inlineStr">
        <is>
          <t>A</t>
        </is>
      </c>
      <c r="B80" t="inlineStr">
        <is>
          <t>I1</t>
        </is>
      </c>
      <c r="C80" t="inlineStr">
        <is>
          <t>W1</t>
        </is>
      </c>
      <c r="F80">
        <f>IF(AND(D80&lt;&gt;"",E80&lt;&gt;""),(E80-D80)*1440,"")</f>
        <v/>
      </c>
    </row>
    <row r="81">
      <c r="A81" t="inlineStr">
        <is>
          <t>A</t>
        </is>
      </c>
      <c r="B81" t="inlineStr">
        <is>
          <t>I1</t>
        </is>
      </c>
      <c r="C81" t="inlineStr">
        <is>
          <t>W2</t>
        </is>
      </c>
      <c r="F81">
        <f>IF(AND(D81&lt;&gt;"",E81&lt;&gt;""),(E81-D81)*1440,"")</f>
        <v/>
      </c>
    </row>
    <row r="82">
      <c r="A82" t="inlineStr">
        <is>
          <t>A</t>
        </is>
      </c>
      <c r="B82" t="inlineStr">
        <is>
          <t>I1</t>
        </is>
      </c>
      <c r="C82" t="inlineStr">
        <is>
          <t>W3</t>
        </is>
      </c>
      <c r="F82">
        <f>IF(AND(D82&lt;&gt;"",E82&lt;&gt;""),(E82-D82)*1440,"")</f>
        <v/>
      </c>
    </row>
    <row r="83">
      <c r="A83" t="inlineStr">
        <is>
          <t>A</t>
        </is>
      </c>
      <c r="B83" t="inlineStr">
        <is>
          <t>I1</t>
        </is>
      </c>
      <c r="C83" t="inlineStr">
        <is>
          <t>W4</t>
        </is>
      </c>
      <c r="F83">
        <f>IF(AND(D83&lt;&gt;"",E83&lt;&gt;""),(E83-D83)*1440,"")</f>
        <v/>
      </c>
    </row>
    <row r="84">
      <c r="A84" t="inlineStr">
        <is>
          <t>A</t>
        </is>
      </c>
      <c r="B84" t="inlineStr">
        <is>
          <t>I1</t>
        </is>
      </c>
      <c r="C84" t="inlineStr">
        <is>
          <t>W5</t>
        </is>
      </c>
      <c r="F84">
        <f>IF(AND(D84&lt;&gt;"",E84&lt;&gt;""),(E84-D84)*1440,"")</f>
        <v/>
      </c>
    </row>
    <row r="85">
      <c r="A85" t="inlineStr">
        <is>
          <t>A</t>
        </is>
      </c>
      <c r="B85" t="inlineStr">
        <is>
          <t>I1</t>
        </is>
      </c>
      <c r="C85" t="inlineStr">
        <is>
          <t>W6</t>
        </is>
      </c>
      <c r="F85">
        <f>IF(AND(D85&lt;&gt;"",E85&lt;&gt;""),(E85-D85)*1440,"")</f>
        <v/>
      </c>
    </row>
    <row r="86">
      <c r="A86" t="inlineStr">
        <is>
          <t>A</t>
        </is>
      </c>
      <c r="B86" t="inlineStr">
        <is>
          <t>I2</t>
        </is>
      </c>
      <c r="C86" t="inlineStr">
        <is>
          <t>W1</t>
        </is>
      </c>
      <c r="F86">
        <f>IF(AND(D86&lt;&gt;"",E86&lt;&gt;""),(E86-D86)*1440,"")</f>
        <v/>
      </c>
    </row>
    <row r="87">
      <c r="A87" t="inlineStr">
        <is>
          <t>A</t>
        </is>
      </c>
      <c r="B87" t="inlineStr">
        <is>
          <t>I2</t>
        </is>
      </c>
      <c r="C87" t="inlineStr">
        <is>
          <t>W2</t>
        </is>
      </c>
      <c r="F87">
        <f>IF(AND(D87&lt;&gt;"",E87&lt;&gt;""),(E87-D87)*1440,"")</f>
        <v/>
      </c>
    </row>
    <row r="88">
      <c r="A88" t="inlineStr">
        <is>
          <t>A</t>
        </is>
      </c>
      <c r="B88" t="inlineStr">
        <is>
          <t>I2</t>
        </is>
      </c>
      <c r="C88" t="inlineStr">
        <is>
          <t>W3</t>
        </is>
      </c>
      <c r="F88">
        <f>IF(AND(D88&lt;&gt;"",E88&lt;&gt;""),(E88-D88)*1440,"")</f>
        <v/>
      </c>
    </row>
    <row r="89">
      <c r="A89" t="inlineStr">
        <is>
          <t>A</t>
        </is>
      </c>
      <c r="B89" t="inlineStr">
        <is>
          <t>I2</t>
        </is>
      </c>
      <c r="C89" t="inlineStr">
        <is>
          <t>W4</t>
        </is>
      </c>
      <c r="F89">
        <f>IF(AND(D89&lt;&gt;"",E89&lt;&gt;""),(E89-D89)*1440,"")</f>
        <v/>
      </c>
    </row>
    <row r="90">
      <c r="A90" t="inlineStr">
        <is>
          <t>A</t>
        </is>
      </c>
      <c r="B90" t="inlineStr">
        <is>
          <t>I2</t>
        </is>
      </c>
      <c r="C90" t="inlineStr">
        <is>
          <t>W5</t>
        </is>
      </c>
      <c r="F90">
        <f>IF(AND(D90&lt;&gt;"",E90&lt;&gt;""),(E90-D90)*1440,"")</f>
        <v/>
      </c>
    </row>
    <row r="91">
      <c r="A91" t="inlineStr">
        <is>
          <t>A</t>
        </is>
      </c>
      <c r="B91" t="inlineStr">
        <is>
          <t>I2</t>
        </is>
      </c>
      <c r="C91" t="inlineStr">
        <is>
          <t>W6</t>
        </is>
      </c>
      <c r="F91">
        <f>IF(AND(D91&lt;&gt;"",E91&lt;&gt;""),(E91-D91)*1440,"")</f>
        <v/>
      </c>
    </row>
    <row r="92">
      <c r="A92" t="inlineStr">
        <is>
          <t>A</t>
        </is>
      </c>
      <c r="B92" t="inlineStr">
        <is>
          <t>I3</t>
        </is>
      </c>
      <c r="C92" t="inlineStr">
        <is>
          <t>W1</t>
        </is>
      </c>
      <c r="F92">
        <f>IF(AND(D92&lt;&gt;"",E92&lt;&gt;""),(E92-D92)*1440,"")</f>
        <v/>
      </c>
    </row>
    <row r="93">
      <c r="A93" t="inlineStr">
        <is>
          <t>A</t>
        </is>
      </c>
      <c r="B93" t="inlineStr">
        <is>
          <t>I3</t>
        </is>
      </c>
      <c r="C93" t="inlineStr">
        <is>
          <t>W2</t>
        </is>
      </c>
      <c r="F93">
        <f>IF(AND(D93&lt;&gt;"",E93&lt;&gt;""),(E93-D93)*1440,"")</f>
        <v/>
      </c>
    </row>
    <row r="94">
      <c r="A94" t="inlineStr">
        <is>
          <t>A</t>
        </is>
      </c>
      <c r="B94" t="inlineStr">
        <is>
          <t>I3</t>
        </is>
      </c>
      <c r="C94" t="inlineStr">
        <is>
          <t>W3</t>
        </is>
      </c>
      <c r="F94">
        <f>IF(AND(D94&lt;&gt;"",E94&lt;&gt;""),(E94-D94)*1440,"")</f>
        <v/>
      </c>
    </row>
    <row r="95">
      <c r="A95" t="inlineStr">
        <is>
          <t>A</t>
        </is>
      </c>
      <c r="B95" t="inlineStr">
        <is>
          <t>I3</t>
        </is>
      </c>
      <c r="C95" t="inlineStr">
        <is>
          <t>W4</t>
        </is>
      </c>
      <c r="F95">
        <f>IF(AND(D95&lt;&gt;"",E95&lt;&gt;""),(E95-D95)*1440,"")</f>
        <v/>
      </c>
    </row>
    <row r="96">
      <c r="A96" t="inlineStr">
        <is>
          <t>A</t>
        </is>
      </c>
      <c r="B96" t="inlineStr">
        <is>
          <t>I3</t>
        </is>
      </c>
      <c r="C96" t="inlineStr">
        <is>
          <t>W5</t>
        </is>
      </c>
      <c r="F96">
        <f>IF(AND(D96&lt;&gt;"",E96&lt;&gt;""),(E96-D96)*1440,"")</f>
        <v/>
      </c>
    </row>
    <row r="97">
      <c r="A97" t="inlineStr">
        <is>
          <t>A</t>
        </is>
      </c>
      <c r="B97" t="inlineStr">
        <is>
          <t>I3</t>
        </is>
      </c>
      <c r="C97" t="inlineStr">
        <is>
          <t>W6</t>
        </is>
      </c>
      <c r="F97">
        <f>IF(AND(D97&lt;&gt;"",E97&lt;&gt;""),(E97-D97)*1440,"")</f>
        <v/>
      </c>
    </row>
    <row r="98">
      <c r="A98" t="inlineStr">
        <is>
          <t>B</t>
        </is>
      </c>
      <c r="B98" t="inlineStr">
        <is>
          <t>F4-A</t>
        </is>
      </c>
      <c r="C98" t="inlineStr">
        <is>
          <t>W1</t>
        </is>
      </c>
      <c r="F98">
        <f>IF(AND(D98&lt;&gt;"",E98&lt;&gt;""),(E98-D98)*1440,"")</f>
        <v/>
      </c>
    </row>
    <row r="99">
      <c r="A99" t="inlineStr">
        <is>
          <t>B</t>
        </is>
      </c>
      <c r="B99" t="inlineStr">
        <is>
          <t>F4-A</t>
        </is>
      </c>
      <c r="C99" t="inlineStr">
        <is>
          <t>W2</t>
        </is>
      </c>
      <c r="F99">
        <f>IF(AND(D99&lt;&gt;"",E99&lt;&gt;""),(E99-D99)*1440,"")</f>
        <v/>
      </c>
    </row>
    <row r="100">
      <c r="A100" t="inlineStr">
        <is>
          <t>B</t>
        </is>
      </c>
      <c r="B100" t="inlineStr">
        <is>
          <t>F4-A</t>
        </is>
      </c>
      <c r="C100" t="inlineStr">
        <is>
          <t>W3</t>
        </is>
      </c>
      <c r="F100">
        <f>IF(AND(D100&lt;&gt;"",E100&lt;&gt;""),(E100-D100)*1440,"")</f>
        <v/>
      </c>
    </row>
    <row r="101">
      <c r="A101" t="inlineStr">
        <is>
          <t>B</t>
        </is>
      </c>
      <c r="B101" t="inlineStr">
        <is>
          <t>F4-A</t>
        </is>
      </c>
      <c r="C101" t="inlineStr">
        <is>
          <t>W4</t>
        </is>
      </c>
      <c r="F101">
        <f>IF(AND(D101&lt;&gt;"",E101&lt;&gt;""),(E101-D101)*1440,"")</f>
        <v/>
      </c>
    </row>
    <row r="102">
      <c r="A102" t="inlineStr">
        <is>
          <t>B</t>
        </is>
      </c>
      <c r="B102" t="inlineStr">
        <is>
          <t>F4-A</t>
        </is>
      </c>
      <c r="C102" t="inlineStr">
        <is>
          <t>W5</t>
        </is>
      </c>
      <c r="F102">
        <f>IF(AND(D102&lt;&gt;"",E102&lt;&gt;""),(E102-D102)*1440,"")</f>
        <v/>
      </c>
    </row>
    <row r="103">
      <c r="A103" t="inlineStr">
        <is>
          <t>B</t>
        </is>
      </c>
      <c r="B103" t="inlineStr">
        <is>
          <t>F4-A</t>
        </is>
      </c>
      <c r="C103" t="inlineStr">
        <is>
          <t>W6</t>
        </is>
      </c>
      <c r="F103">
        <f>IF(AND(D103&lt;&gt;"",E103&lt;&gt;""),(E103-D103)*1440,"")</f>
        <v/>
      </c>
    </row>
    <row r="104">
      <c r="A104" t="inlineStr">
        <is>
          <t>B</t>
        </is>
      </c>
      <c r="B104" t="inlineStr">
        <is>
          <t>F1</t>
        </is>
      </c>
      <c r="C104" t="inlineStr">
        <is>
          <t>W1</t>
        </is>
      </c>
      <c r="F104">
        <f>IF(AND(D104&lt;&gt;"",E104&lt;&gt;""),(E104-D104)*1440,"")</f>
        <v/>
      </c>
    </row>
    <row r="105">
      <c r="A105" t="inlineStr">
        <is>
          <t>B</t>
        </is>
      </c>
      <c r="B105" t="inlineStr">
        <is>
          <t>F1</t>
        </is>
      </c>
      <c r="C105" t="inlineStr">
        <is>
          <t>W2</t>
        </is>
      </c>
      <c r="F105">
        <f>IF(AND(D105&lt;&gt;"",E105&lt;&gt;""),(E105-D105)*1440,"")</f>
        <v/>
      </c>
    </row>
    <row r="106">
      <c r="A106" t="inlineStr">
        <is>
          <t>B</t>
        </is>
      </c>
      <c r="B106" t="inlineStr">
        <is>
          <t>F1</t>
        </is>
      </c>
      <c r="C106" t="inlineStr">
        <is>
          <t>W3</t>
        </is>
      </c>
      <c r="F106">
        <f>IF(AND(D106&lt;&gt;"",E106&lt;&gt;""),(E106-D106)*1440,"")</f>
        <v/>
      </c>
    </row>
    <row r="107">
      <c r="A107" t="inlineStr">
        <is>
          <t>B</t>
        </is>
      </c>
      <c r="B107" t="inlineStr">
        <is>
          <t>F1</t>
        </is>
      </c>
      <c r="C107" t="inlineStr">
        <is>
          <t>W4</t>
        </is>
      </c>
      <c r="F107">
        <f>IF(AND(D107&lt;&gt;"",E107&lt;&gt;""),(E107-D107)*1440,"")</f>
        <v/>
      </c>
    </row>
    <row r="108">
      <c r="A108" t="inlineStr">
        <is>
          <t>B</t>
        </is>
      </c>
      <c r="B108" t="inlineStr">
        <is>
          <t>F1</t>
        </is>
      </c>
      <c r="C108" t="inlineStr">
        <is>
          <t>W5</t>
        </is>
      </c>
      <c r="F108">
        <f>IF(AND(D108&lt;&gt;"",E108&lt;&gt;""),(E108-D108)*1440,"")</f>
        <v/>
      </c>
    </row>
    <row r="109">
      <c r="A109" t="inlineStr">
        <is>
          <t>B</t>
        </is>
      </c>
      <c r="B109" t="inlineStr">
        <is>
          <t>F1</t>
        </is>
      </c>
      <c r="C109" t="inlineStr">
        <is>
          <t>W6</t>
        </is>
      </c>
      <c r="F109">
        <f>IF(AND(D109&lt;&gt;"",E109&lt;&gt;""),(E109-D109)*1440,"")</f>
        <v/>
      </c>
    </row>
    <row r="110">
      <c r="A110" t="inlineStr">
        <is>
          <t>B</t>
        </is>
      </c>
      <c r="B110" t="inlineStr">
        <is>
          <t>F3-A</t>
        </is>
      </c>
      <c r="C110" t="inlineStr">
        <is>
          <t>W1</t>
        </is>
      </c>
      <c r="F110">
        <f>IF(AND(D110&lt;&gt;"",E110&lt;&gt;""),(E110-D110)*1440,"")</f>
        <v/>
      </c>
    </row>
    <row r="111">
      <c r="A111" t="inlineStr">
        <is>
          <t>B</t>
        </is>
      </c>
      <c r="B111" t="inlineStr">
        <is>
          <t>F3-A</t>
        </is>
      </c>
      <c r="C111" t="inlineStr">
        <is>
          <t>W2</t>
        </is>
      </c>
      <c r="F111">
        <f>IF(AND(D111&lt;&gt;"",E111&lt;&gt;""),(E111-D111)*1440,"")</f>
        <v/>
      </c>
    </row>
    <row r="112">
      <c r="A112" t="inlineStr">
        <is>
          <t>B</t>
        </is>
      </c>
      <c r="B112" t="inlineStr">
        <is>
          <t>F3-A</t>
        </is>
      </c>
      <c r="C112" t="inlineStr">
        <is>
          <t>W3</t>
        </is>
      </c>
      <c r="F112">
        <f>IF(AND(D112&lt;&gt;"",E112&lt;&gt;""),(E112-D112)*1440,"")</f>
        <v/>
      </c>
    </row>
    <row r="113">
      <c r="A113" t="inlineStr">
        <is>
          <t>B</t>
        </is>
      </c>
      <c r="B113" t="inlineStr">
        <is>
          <t>F3-A</t>
        </is>
      </c>
      <c r="C113" t="inlineStr">
        <is>
          <t>W4</t>
        </is>
      </c>
      <c r="F113">
        <f>IF(AND(D113&lt;&gt;"",E113&lt;&gt;""),(E113-D113)*1440,"")</f>
        <v/>
      </c>
    </row>
    <row r="114">
      <c r="A114" t="inlineStr">
        <is>
          <t>B</t>
        </is>
      </c>
      <c r="B114" t="inlineStr">
        <is>
          <t>F3-A</t>
        </is>
      </c>
      <c r="C114" t="inlineStr">
        <is>
          <t>W5</t>
        </is>
      </c>
      <c r="F114">
        <f>IF(AND(D114&lt;&gt;"",E114&lt;&gt;""),(E114-D114)*1440,"")</f>
        <v/>
      </c>
    </row>
    <row r="115">
      <c r="A115" t="inlineStr">
        <is>
          <t>B</t>
        </is>
      </c>
      <c r="B115" t="inlineStr">
        <is>
          <t>F3-A</t>
        </is>
      </c>
      <c r="C115" t="inlineStr">
        <is>
          <t>W6</t>
        </is>
      </c>
      <c r="F115">
        <f>IF(AND(D115&lt;&gt;"",E115&lt;&gt;""),(E115-D115)*1440,"")</f>
        <v/>
      </c>
    </row>
    <row r="116">
      <c r="A116" t="inlineStr">
        <is>
          <t>B</t>
        </is>
      </c>
      <c r="B116" t="inlineStr">
        <is>
          <t>F5-A</t>
        </is>
      </c>
      <c r="C116" t="inlineStr">
        <is>
          <t>W1</t>
        </is>
      </c>
      <c r="F116">
        <f>IF(AND(D116&lt;&gt;"",E116&lt;&gt;""),(E116-D116)*1440,"")</f>
        <v/>
      </c>
    </row>
    <row r="117">
      <c r="A117" t="inlineStr">
        <is>
          <t>B</t>
        </is>
      </c>
      <c r="B117" t="inlineStr">
        <is>
          <t>F5-A</t>
        </is>
      </c>
      <c r="C117" t="inlineStr">
        <is>
          <t>W2</t>
        </is>
      </c>
      <c r="F117">
        <f>IF(AND(D117&lt;&gt;"",E117&lt;&gt;""),(E117-D117)*1440,"")</f>
        <v/>
      </c>
    </row>
    <row r="118">
      <c r="A118" t="inlineStr">
        <is>
          <t>B</t>
        </is>
      </c>
      <c r="B118" t="inlineStr">
        <is>
          <t>F5-A</t>
        </is>
      </c>
      <c r="C118" t="inlineStr">
        <is>
          <t>W3</t>
        </is>
      </c>
      <c r="F118">
        <f>IF(AND(D118&lt;&gt;"",E118&lt;&gt;""),(E118-D118)*1440,"")</f>
        <v/>
      </c>
    </row>
    <row r="119">
      <c r="A119" t="inlineStr">
        <is>
          <t>B</t>
        </is>
      </c>
      <c r="B119" t="inlineStr">
        <is>
          <t>F5-A</t>
        </is>
      </c>
      <c r="C119" t="inlineStr">
        <is>
          <t>W4</t>
        </is>
      </c>
      <c r="F119">
        <f>IF(AND(D119&lt;&gt;"",E119&lt;&gt;""),(E119-D119)*1440,"")</f>
        <v/>
      </c>
    </row>
    <row r="120">
      <c r="A120" t="inlineStr">
        <is>
          <t>B</t>
        </is>
      </c>
      <c r="B120" t="inlineStr">
        <is>
          <t>F5-A</t>
        </is>
      </c>
      <c r="C120" t="inlineStr">
        <is>
          <t>W5</t>
        </is>
      </c>
      <c r="F120">
        <f>IF(AND(D120&lt;&gt;"",E120&lt;&gt;""),(E120-D120)*1440,"")</f>
        <v/>
      </c>
    </row>
    <row r="121">
      <c r="A121" t="inlineStr">
        <is>
          <t>B</t>
        </is>
      </c>
      <c r="B121" t="inlineStr">
        <is>
          <t>F5-A</t>
        </is>
      </c>
      <c r="C121" t="inlineStr">
        <is>
          <t>W6</t>
        </is>
      </c>
      <c r="F121">
        <f>IF(AND(D121&lt;&gt;"",E121&lt;&gt;""),(E121-D121)*1440,"")</f>
        <v/>
      </c>
    </row>
    <row r="122">
      <c r="A122" t="inlineStr">
        <is>
          <t>B</t>
        </is>
      </c>
      <c r="B122" t="inlineStr">
        <is>
          <t>JUNTA-A</t>
        </is>
      </c>
      <c r="C122" t="inlineStr">
        <is>
          <t>W1</t>
        </is>
      </c>
      <c r="F122">
        <f>IF(AND(D122&lt;&gt;"",E122&lt;&gt;""),(E122-D122)*1440,"")</f>
        <v/>
      </c>
    </row>
    <row r="123">
      <c r="A123" t="inlineStr">
        <is>
          <t>B</t>
        </is>
      </c>
      <c r="B123" t="inlineStr">
        <is>
          <t>JUNTA-A</t>
        </is>
      </c>
      <c r="C123" t="inlineStr">
        <is>
          <t>W2</t>
        </is>
      </c>
      <c r="F123">
        <f>IF(AND(D123&lt;&gt;"",E123&lt;&gt;""),(E123-D123)*1440,"")</f>
        <v/>
      </c>
    </row>
    <row r="124">
      <c r="A124" t="inlineStr">
        <is>
          <t>B</t>
        </is>
      </c>
      <c r="B124" t="inlineStr">
        <is>
          <t>JUNTA-A</t>
        </is>
      </c>
      <c r="C124" t="inlineStr">
        <is>
          <t>W3</t>
        </is>
      </c>
      <c r="F124">
        <f>IF(AND(D124&lt;&gt;"",E124&lt;&gt;""),(E124-D124)*1440,"")</f>
        <v/>
      </c>
    </row>
    <row r="125">
      <c r="A125" t="inlineStr">
        <is>
          <t>B</t>
        </is>
      </c>
      <c r="B125" t="inlineStr">
        <is>
          <t>JUNTA-A</t>
        </is>
      </c>
      <c r="C125" t="inlineStr">
        <is>
          <t>W4</t>
        </is>
      </c>
      <c r="F125">
        <f>IF(AND(D125&lt;&gt;"",E125&lt;&gt;""),(E125-D125)*1440,"")</f>
        <v/>
      </c>
    </row>
    <row r="126">
      <c r="A126" t="inlineStr">
        <is>
          <t>B</t>
        </is>
      </c>
      <c r="B126" t="inlineStr">
        <is>
          <t>JUNTA-A</t>
        </is>
      </c>
      <c r="C126" t="inlineStr">
        <is>
          <t>W5</t>
        </is>
      </c>
      <c r="F126">
        <f>IF(AND(D126&lt;&gt;"",E126&lt;&gt;""),(E126-D126)*1440,"")</f>
        <v/>
      </c>
    </row>
    <row r="127">
      <c r="A127" t="inlineStr">
        <is>
          <t>B</t>
        </is>
      </c>
      <c r="B127" t="inlineStr">
        <is>
          <t>JUNTA-A</t>
        </is>
      </c>
      <c r="C127" t="inlineStr">
        <is>
          <t>W6</t>
        </is>
      </c>
      <c r="F127">
        <f>IF(AND(D127&lt;&gt;"",E127&lt;&gt;""),(E127-D127)*1440,"")</f>
        <v/>
      </c>
    </row>
    <row r="128">
      <c r="A128" t="inlineStr">
        <is>
          <t>B</t>
        </is>
      </c>
      <c r="B128" t="inlineStr">
        <is>
          <t>IA1</t>
        </is>
      </c>
      <c r="C128" t="inlineStr">
        <is>
          <t>W1</t>
        </is>
      </c>
      <c r="F128">
        <f>IF(AND(D128&lt;&gt;"",E128&lt;&gt;""),(E128-D128)*1440,"")</f>
        <v/>
      </c>
    </row>
    <row r="129">
      <c r="A129" t="inlineStr">
        <is>
          <t>B</t>
        </is>
      </c>
      <c r="B129" t="inlineStr">
        <is>
          <t>IA1</t>
        </is>
      </c>
      <c r="C129" t="inlineStr">
        <is>
          <t>W2</t>
        </is>
      </c>
      <c r="F129">
        <f>IF(AND(D129&lt;&gt;"",E129&lt;&gt;""),(E129-D129)*1440,"")</f>
        <v/>
      </c>
    </row>
    <row r="130">
      <c r="A130" t="inlineStr">
        <is>
          <t>B</t>
        </is>
      </c>
      <c r="B130" t="inlineStr">
        <is>
          <t>IA1</t>
        </is>
      </c>
      <c r="C130" t="inlineStr">
        <is>
          <t>W3</t>
        </is>
      </c>
      <c r="F130">
        <f>IF(AND(D130&lt;&gt;"",E130&lt;&gt;""),(E130-D130)*1440,"")</f>
        <v/>
      </c>
    </row>
    <row r="131">
      <c r="A131" t="inlineStr">
        <is>
          <t>B</t>
        </is>
      </c>
      <c r="B131" t="inlineStr">
        <is>
          <t>IA1</t>
        </is>
      </c>
      <c r="C131" t="inlineStr">
        <is>
          <t>W4</t>
        </is>
      </c>
      <c r="F131">
        <f>IF(AND(D131&lt;&gt;"",E131&lt;&gt;""),(E131-D131)*1440,"")</f>
        <v/>
      </c>
    </row>
    <row r="132">
      <c r="A132" t="inlineStr">
        <is>
          <t>B</t>
        </is>
      </c>
      <c r="B132" t="inlineStr">
        <is>
          <t>IA1</t>
        </is>
      </c>
      <c r="C132" t="inlineStr">
        <is>
          <t>W5</t>
        </is>
      </c>
      <c r="F132">
        <f>IF(AND(D132&lt;&gt;"",E132&lt;&gt;""),(E132-D132)*1440,"")</f>
        <v/>
      </c>
    </row>
    <row r="133">
      <c r="A133" t="inlineStr">
        <is>
          <t>B</t>
        </is>
      </c>
      <c r="B133" t="inlineStr">
        <is>
          <t>IA1</t>
        </is>
      </c>
      <c r="C133" t="inlineStr">
        <is>
          <t>W6</t>
        </is>
      </c>
      <c r="F133">
        <f>IF(AND(D133&lt;&gt;"",E133&lt;&gt;""),(E133-D133)*1440,"")</f>
        <v/>
      </c>
    </row>
    <row r="134">
      <c r="A134" t="inlineStr">
        <is>
          <t>B</t>
        </is>
      </c>
      <c r="B134" t="inlineStr">
        <is>
          <t>IA2</t>
        </is>
      </c>
      <c r="C134" t="inlineStr">
        <is>
          <t>W1</t>
        </is>
      </c>
      <c r="F134">
        <f>IF(AND(D134&lt;&gt;"",E134&lt;&gt;""),(E134-D134)*1440,"")</f>
        <v/>
      </c>
    </row>
    <row r="135">
      <c r="A135" t="inlineStr">
        <is>
          <t>B</t>
        </is>
      </c>
      <c r="B135" t="inlineStr">
        <is>
          <t>IA2</t>
        </is>
      </c>
      <c r="C135" t="inlineStr">
        <is>
          <t>W2</t>
        </is>
      </c>
      <c r="F135">
        <f>IF(AND(D135&lt;&gt;"",E135&lt;&gt;""),(E135-D135)*1440,"")</f>
        <v/>
      </c>
    </row>
    <row r="136">
      <c r="A136" t="inlineStr">
        <is>
          <t>B</t>
        </is>
      </c>
      <c r="B136" t="inlineStr">
        <is>
          <t>IA2</t>
        </is>
      </c>
      <c r="C136" t="inlineStr">
        <is>
          <t>W3</t>
        </is>
      </c>
      <c r="F136">
        <f>IF(AND(D136&lt;&gt;"",E136&lt;&gt;""),(E136-D136)*1440,"")</f>
        <v/>
      </c>
    </row>
    <row r="137">
      <c r="A137" t="inlineStr">
        <is>
          <t>B</t>
        </is>
      </c>
      <c r="B137" t="inlineStr">
        <is>
          <t>IA2</t>
        </is>
      </c>
      <c r="C137" t="inlineStr">
        <is>
          <t>W4</t>
        </is>
      </c>
      <c r="F137">
        <f>IF(AND(D137&lt;&gt;"",E137&lt;&gt;""),(E137-D137)*1440,"")</f>
        <v/>
      </c>
    </row>
    <row r="138">
      <c r="A138" t="inlineStr">
        <is>
          <t>B</t>
        </is>
      </c>
      <c r="B138" t="inlineStr">
        <is>
          <t>IA2</t>
        </is>
      </c>
      <c r="C138" t="inlineStr">
        <is>
          <t>W5</t>
        </is>
      </c>
      <c r="F138">
        <f>IF(AND(D138&lt;&gt;"",E138&lt;&gt;""),(E138-D138)*1440,"")</f>
        <v/>
      </c>
    </row>
    <row r="139">
      <c r="A139" t="inlineStr">
        <is>
          <t>B</t>
        </is>
      </c>
      <c r="B139" t="inlineStr">
        <is>
          <t>IA2</t>
        </is>
      </c>
      <c r="C139" t="inlineStr">
        <is>
          <t>W6</t>
        </is>
      </c>
      <c r="F139">
        <f>IF(AND(D139&lt;&gt;"",E139&lt;&gt;""),(E139-D139)*1440,"")</f>
        <v/>
      </c>
    </row>
    <row r="140">
      <c r="A140" t="inlineStr">
        <is>
          <t>B</t>
        </is>
      </c>
      <c r="B140" t="inlineStr">
        <is>
          <t>IAN</t>
        </is>
      </c>
      <c r="C140" t="inlineStr">
        <is>
          <t>W1</t>
        </is>
      </c>
      <c r="F140">
        <f>IF(AND(D140&lt;&gt;"",E140&lt;&gt;""),(E140-D140)*1440,"")</f>
        <v/>
      </c>
    </row>
    <row r="141">
      <c r="A141" t="inlineStr">
        <is>
          <t>B</t>
        </is>
      </c>
      <c r="B141" t="inlineStr">
        <is>
          <t>IAN</t>
        </is>
      </c>
      <c r="C141" t="inlineStr">
        <is>
          <t>W2</t>
        </is>
      </c>
      <c r="F141">
        <f>IF(AND(D141&lt;&gt;"",E141&lt;&gt;""),(E141-D141)*1440,"")</f>
        <v/>
      </c>
    </row>
    <row r="142">
      <c r="A142" t="inlineStr">
        <is>
          <t>B</t>
        </is>
      </c>
      <c r="B142" t="inlineStr">
        <is>
          <t>IAN</t>
        </is>
      </c>
      <c r="C142" t="inlineStr">
        <is>
          <t>W3</t>
        </is>
      </c>
      <c r="F142">
        <f>IF(AND(D142&lt;&gt;"",E142&lt;&gt;""),(E142-D142)*1440,"")</f>
        <v/>
      </c>
    </row>
    <row r="143">
      <c r="A143" t="inlineStr">
        <is>
          <t>B</t>
        </is>
      </c>
      <c r="B143" t="inlineStr">
        <is>
          <t>IAN</t>
        </is>
      </c>
      <c r="C143" t="inlineStr">
        <is>
          <t>W4</t>
        </is>
      </c>
      <c r="F143">
        <f>IF(AND(D143&lt;&gt;"",E143&lt;&gt;""),(E143-D143)*1440,"")</f>
        <v/>
      </c>
    </row>
    <row r="144">
      <c r="A144" t="inlineStr">
        <is>
          <t>B</t>
        </is>
      </c>
      <c r="B144" t="inlineStr">
        <is>
          <t>IAN</t>
        </is>
      </c>
      <c r="C144" t="inlineStr">
        <is>
          <t>W5</t>
        </is>
      </c>
      <c r="F144">
        <f>IF(AND(D144&lt;&gt;"",E144&lt;&gt;""),(E144-D144)*1440,"")</f>
        <v/>
      </c>
    </row>
    <row r="145">
      <c r="A145" t="inlineStr">
        <is>
          <t>B</t>
        </is>
      </c>
      <c r="B145" t="inlineStr">
        <is>
          <t>IAN</t>
        </is>
      </c>
      <c r="C145" t="inlineStr">
        <is>
          <t>W6</t>
        </is>
      </c>
      <c r="F145">
        <f>IF(AND(D145&lt;&gt;"",E145&lt;&gt;""),(E145-D145)*1440,"")</f>
        <v/>
      </c>
    </row>
    <row r="146">
      <c r="A146" t="inlineStr">
        <is>
          <t>B</t>
        </is>
      </c>
      <c r="B146" t="inlineStr">
        <is>
          <t>F4-B</t>
        </is>
      </c>
      <c r="C146" t="inlineStr">
        <is>
          <t>W1</t>
        </is>
      </c>
      <c r="F146">
        <f>IF(AND(D146&lt;&gt;"",E146&lt;&gt;""),(E146-D146)*1440,"")</f>
        <v/>
      </c>
    </row>
    <row r="147">
      <c r="A147" t="inlineStr">
        <is>
          <t>B</t>
        </is>
      </c>
      <c r="B147" t="inlineStr">
        <is>
          <t>F4-B</t>
        </is>
      </c>
      <c r="C147" t="inlineStr">
        <is>
          <t>W2</t>
        </is>
      </c>
      <c r="F147">
        <f>IF(AND(D147&lt;&gt;"",E147&lt;&gt;""),(E147-D147)*1440,"")</f>
        <v/>
      </c>
    </row>
    <row r="148">
      <c r="A148" t="inlineStr">
        <is>
          <t>B</t>
        </is>
      </c>
      <c r="B148" t="inlineStr">
        <is>
          <t>F4-B</t>
        </is>
      </c>
      <c r="C148" t="inlineStr">
        <is>
          <t>W3</t>
        </is>
      </c>
      <c r="F148">
        <f>IF(AND(D148&lt;&gt;"",E148&lt;&gt;""),(E148-D148)*1440,"")</f>
        <v/>
      </c>
    </row>
    <row r="149">
      <c r="A149" t="inlineStr">
        <is>
          <t>B</t>
        </is>
      </c>
      <c r="B149" t="inlineStr">
        <is>
          <t>F4-B</t>
        </is>
      </c>
      <c r="C149" t="inlineStr">
        <is>
          <t>W4</t>
        </is>
      </c>
      <c r="F149">
        <f>IF(AND(D149&lt;&gt;"",E149&lt;&gt;""),(E149-D149)*1440,"")</f>
        <v/>
      </c>
    </row>
    <row r="150">
      <c r="A150" t="inlineStr">
        <is>
          <t>B</t>
        </is>
      </c>
      <c r="B150" t="inlineStr">
        <is>
          <t>F4-B</t>
        </is>
      </c>
      <c r="C150" t="inlineStr">
        <is>
          <t>W5</t>
        </is>
      </c>
      <c r="F150">
        <f>IF(AND(D150&lt;&gt;"",E150&lt;&gt;""),(E150-D150)*1440,"")</f>
        <v/>
      </c>
    </row>
    <row r="151">
      <c r="A151" t="inlineStr">
        <is>
          <t>B</t>
        </is>
      </c>
      <c r="B151" t="inlineStr">
        <is>
          <t>F4-B</t>
        </is>
      </c>
      <c r="C151" t="inlineStr">
        <is>
          <t>W6</t>
        </is>
      </c>
      <c r="F151">
        <f>IF(AND(D151&lt;&gt;"",E151&lt;&gt;""),(E151-D151)*1440,"")</f>
        <v/>
      </c>
    </row>
    <row r="152">
      <c r="A152" t="inlineStr">
        <is>
          <t>B</t>
        </is>
      </c>
      <c r="B152" t="inlineStr">
        <is>
          <t>F2</t>
        </is>
      </c>
      <c r="C152" t="inlineStr">
        <is>
          <t>W1</t>
        </is>
      </c>
      <c r="F152">
        <f>IF(AND(D152&lt;&gt;"",E152&lt;&gt;""),(E152-D152)*1440,"")</f>
        <v/>
      </c>
    </row>
    <row r="153">
      <c r="A153" t="inlineStr">
        <is>
          <t>B</t>
        </is>
      </c>
      <c r="B153" t="inlineStr">
        <is>
          <t>F2</t>
        </is>
      </c>
      <c r="C153" t="inlineStr">
        <is>
          <t>W2</t>
        </is>
      </c>
      <c r="F153">
        <f>IF(AND(D153&lt;&gt;"",E153&lt;&gt;""),(E153-D153)*1440,"")</f>
        <v/>
      </c>
    </row>
    <row r="154">
      <c r="A154" t="inlineStr">
        <is>
          <t>B</t>
        </is>
      </c>
      <c r="B154" t="inlineStr">
        <is>
          <t>F2</t>
        </is>
      </c>
      <c r="C154" t="inlineStr">
        <is>
          <t>W3</t>
        </is>
      </c>
      <c r="F154">
        <f>IF(AND(D154&lt;&gt;"",E154&lt;&gt;""),(E154-D154)*1440,"")</f>
        <v/>
      </c>
    </row>
    <row r="155">
      <c r="A155" t="inlineStr">
        <is>
          <t>B</t>
        </is>
      </c>
      <c r="B155" t="inlineStr">
        <is>
          <t>F2</t>
        </is>
      </c>
      <c r="C155" t="inlineStr">
        <is>
          <t>W4</t>
        </is>
      </c>
      <c r="F155">
        <f>IF(AND(D155&lt;&gt;"",E155&lt;&gt;""),(E155-D155)*1440,"")</f>
        <v/>
      </c>
    </row>
    <row r="156">
      <c r="A156" t="inlineStr">
        <is>
          <t>B</t>
        </is>
      </c>
      <c r="B156" t="inlineStr">
        <is>
          <t>F2</t>
        </is>
      </c>
      <c r="C156" t="inlineStr">
        <is>
          <t>W5</t>
        </is>
      </c>
      <c r="F156">
        <f>IF(AND(D156&lt;&gt;"",E156&lt;&gt;""),(E156-D156)*1440,"")</f>
        <v/>
      </c>
    </row>
    <row r="157">
      <c r="A157" t="inlineStr">
        <is>
          <t>B</t>
        </is>
      </c>
      <c r="B157" t="inlineStr">
        <is>
          <t>F2</t>
        </is>
      </c>
      <c r="C157" t="inlineStr">
        <is>
          <t>W6</t>
        </is>
      </c>
      <c r="F157">
        <f>IF(AND(D157&lt;&gt;"",E157&lt;&gt;""),(E157-D157)*1440,"")</f>
        <v/>
      </c>
    </row>
    <row r="158">
      <c r="A158" t="inlineStr">
        <is>
          <t>B</t>
        </is>
      </c>
      <c r="B158" t="inlineStr">
        <is>
          <t>F3-B</t>
        </is>
      </c>
      <c r="C158" t="inlineStr">
        <is>
          <t>W1</t>
        </is>
      </c>
      <c r="F158">
        <f>IF(AND(D158&lt;&gt;"",E158&lt;&gt;""),(E158-D158)*1440,"")</f>
        <v/>
      </c>
    </row>
    <row r="159">
      <c r="A159" t="inlineStr">
        <is>
          <t>B</t>
        </is>
      </c>
      <c r="B159" t="inlineStr">
        <is>
          <t>F3-B</t>
        </is>
      </c>
      <c r="C159" t="inlineStr">
        <is>
          <t>W2</t>
        </is>
      </c>
      <c r="F159">
        <f>IF(AND(D159&lt;&gt;"",E159&lt;&gt;""),(E159-D159)*1440,"")</f>
        <v/>
      </c>
    </row>
    <row r="160">
      <c r="A160" t="inlineStr">
        <is>
          <t>B</t>
        </is>
      </c>
      <c r="B160" t="inlineStr">
        <is>
          <t>F3-B</t>
        </is>
      </c>
      <c r="C160" t="inlineStr">
        <is>
          <t>W3</t>
        </is>
      </c>
      <c r="F160">
        <f>IF(AND(D160&lt;&gt;"",E160&lt;&gt;""),(E160-D160)*1440,"")</f>
        <v/>
      </c>
    </row>
    <row r="161">
      <c r="A161" t="inlineStr">
        <is>
          <t>B</t>
        </is>
      </c>
      <c r="B161" t="inlineStr">
        <is>
          <t>F3-B</t>
        </is>
      </c>
      <c r="C161" t="inlineStr">
        <is>
          <t>W4</t>
        </is>
      </c>
      <c r="F161">
        <f>IF(AND(D161&lt;&gt;"",E161&lt;&gt;""),(E161-D161)*1440,"")</f>
        <v/>
      </c>
    </row>
    <row r="162">
      <c r="A162" t="inlineStr">
        <is>
          <t>B</t>
        </is>
      </c>
      <c r="B162" t="inlineStr">
        <is>
          <t>F3-B</t>
        </is>
      </c>
      <c r="C162" t="inlineStr">
        <is>
          <t>W5</t>
        </is>
      </c>
      <c r="F162">
        <f>IF(AND(D162&lt;&gt;"",E162&lt;&gt;""),(E162-D162)*1440,"")</f>
        <v/>
      </c>
    </row>
    <row r="163">
      <c r="A163" t="inlineStr">
        <is>
          <t>B</t>
        </is>
      </c>
      <c r="B163" t="inlineStr">
        <is>
          <t>F3-B</t>
        </is>
      </c>
      <c r="C163" t="inlineStr">
        <is>
          <t>W6</t>
        </is>
      </c>
      <c r="F163">
        <f>IF(AND(D163&lt;&gt;"",E163&lt;&gt;""),(E163-D163)*1440,"")</f>
        <v/>
      </c>
    </row>
    <row r="164">
      <c r="A164" t="inlineStr">
        <is>
          <t>B</t>
        </is>
      </c>
      <c r="B164" t="inlineStr">
        <is>
          <t>F5-B</t>
        </is>
      </c>
      <c r="C164" t="inlineStr">
        <is>
          <t>W1</t>
        </is>
      </c>
      <c r="F164">
        <f>IF(AND(D164&lt;&gt;"",E164&lt;&gt;""),(E164-D164)*1440,"")</f>
        <v/>
      </c>
    </row>
    <row r="165">
      <c r="A165" t="inlineStr">
        <is>
          <t>B</t>
        </is>
      </c>
      <c r="B165" t="inlineStr">
        <is>
          <t>F5-B</t>
        </is>
      </c>
      <c r="C165" t="inlineStr">
        <is>
          <t>W2</t>
        </is>
      </c>
      <c r="F165">
        <f>IF(AND(D165&lt;&gt;"",E165&lt;&gt;""),(E165-D165)*1440,"")</f>
        <v/>
      </c>
    </row>
    <row r="166">
      <c r="A166" t="inlineStr">
        <is>
          <t>B</t>
        </is>
      </c>
      <c r="B166" t="inlineStr">
        <is>
          <t>F5-B</t>
        </is>
      </c>
      <c r="C166" t="inlineStr">
        <is>
          <t>W3</t>
        </is>
      </c>
      <c r="F166">
        <f>IF(AND(D166&lt;&gt;"",E166&lt;&gt;""),(E166-D166)*1440,"")</f>
        <v/>
      </c>
    </row>
    <row r="167">
      <c r="A167" t="inlineStr">
        <is>
          <t>B</t>
        </is>
      </c>
      <c r="B167" t="inlineStr">
        <is>
          <t>F5-B</t>
        </is>
      </c>
      <c r="C167" t="inlineStr">
        <is>
          <t>W4</t>
        </is>
      </c>
      <c r="F167">
        <f>IF(AND(D167&lt;&gt;"",E167&lt;&gt;""),(E167-D167)*1440,"")</f>
        <v/>
      </c>
    </row>
    <row r="168">
      <c r="A168" t="inlineStr">
        <is>
          <t>B</t>
        </is>
      </c>
      <c r="B168" t="inlineStr">
        <is>
          <t>F5-B</t>
        </is>
      </c>
      <c r="C168" t="inlineStr">
        <is>
          <t>W5</t>
        </is>
      </c>
      <c r="F168">
        <f>IF(AND(D168&lt;&gt;"",E168&lt;&gt;""),(E168-D168)*1440,"")</f>
        <v/>
      </c>
    </row>
    <row r="169">
      <c r="A169" t="inlineStr">
        <is>
          <t>B</t>
        </is>
      </c>
      <c r="B169" t="inlineStr">
        <is>
          <t>F5-B</t>
        </is>
      </c>
      <c r="C169" t="inlineStr">
        <is>
          <t>W6</t>
        </is>
      </c>
      <c r="F169">
        <f>IF(AND(D169&lt;&gt;"",E169&lt;&gt;""),(E169-D169)*1440,"")</f>
        <v/>
      </c>
    </row>
    <row r="170">
      <c r="A170" t="inlineStr">
        <is>
          <t>B</t>
        </is>
      </c>
      <c r="B170" t="inlineStr">
        <is>
          <t>JUNTA-B</t>
        </is>
      </c>
      <c r="C170" t="inlineStr">
        <is>
          <t>W1</t>
        </is>
      </c>
      <c r="F170">
        <f>IF(AND(D170&lt;&gt;"",E170&lt;&gt;""),(E170-D170)*1440,"")</f>
        <v/>
      </c>
    </row>
    <row r="171">
      <c r="A171" t="inlineStr">
        <is>
          <t>B</t>
        </is>
      </c>
      <c r="B171" t="inlineStr">
        <is>
          <t>JUNTA-B</t>
        </is>
      </c>
      <c r="C171" t="inlineStr">
        <is>
          <t>W2</t>
        </is>
      </c>
      <c r="F171">
        <f>IF(AND(D171&lt;&gt;"",E171&lt;&gt;""),(E171-D171)*1440,"")</f>
        <v/>
      </c>
    </row>
    <row r="172">
      <c r="A172" t="inlineStr">
        <is>
          <t>B</t>
        </is>
      </c>
      <c r="B172" t="inlineStr">
        <is>
          <t>JUNTA-B</t>
        </is>
      </c>
      <c r="C172" t="inlineStr">
        <is>
          <t>W3</t>
        </is>
      </c>
      <c r="F172">
        <f>IF(AND(D172&lt;&gt;"",E172&lt;&gt;""),(E172-D172)*1440,"")</f>
        <v/>
      </c>
    </row>
    <row r="173">
      <c r="A173" t="inlineStr">
        <is>
          <t>B</t>
        </is>
      </c>
      <c r="B173" t="inlineStr">
        <is>
          <t>JUNTA-B</t>
        </is>
      </c>
      <c r="C173" t="inlineStr">
        <is>
          <t>W4</t>
        </is>
      </c>
      <c r="F173">
        <f>IF(AND(D173&lt;&gt;"",E173&lt;&gt;""),(E173-D173)*1440,"")</f>
        <v/>
      </c>
    </row>
    <row r="174">
      <c r="A174" t="inlineStr">
        <is>
          <t>B</t>
        </is>
      </c>
      <c r="B174" t="inlineStr">
        <is>
          <t>JUNTA-B</t>
        </is>
      </c>
      <c r="C174" t="inlineStr">
        <is>
          <t>W5</t>
        </is>
      </c>
      <c r="F174">
        <f>IF(AND(D174&lt;&gt;"",E174&lt;&gt;""),(E174-D174)*1440,"")</f>
        <v/>
      </c>
    </row>
    <row r="175">
      <c r="A175" t="inlineStr">
        <is>
          <t>B</t>
        </is>
      </c>
      <c r="B175" t="inlineStr">
        <is>
          <t>JUNTA-B</t>
        </is>
      </c>
      <c r="C175" t="inlineStr">
        <is>
          <t>W6</t>
        </is>
      </c>
      <c r="F175">
        <f>IF(AND(D175&lt;&gt;"",E175&lt;&gt;""),(E175-D175)*1440,"")</f>
        <v/>
      </c>
    </row>
    <row r="176">
      <c r="A176" t="inlineStr">
        <is>
          <t>B</t>
        </is>
      </c>
      <c r="B176" t="inlineStr">
        <is>
          <t>I1</t>
        </is>
      </c>
      <c r="C176" t="inlineStr">
        <is>
          <t>W1</t>
        </is>
      </c>
      <c r="F176">
        <f>IF(AND(D176&lt;&gt;"",E176&lt;&gt;""),(E176-D176)*1440,"")</f>
        <v/>
      </c>
    </row>
    <row r="177">
      <c r="A177" t="inlineStr">
        <is>
          <t>B</t>
        </is>
      </c>
      <c r="B177" t="inlineStr">
        <is>
          <t>I1</t>
        </is>
      </c>
      <c r="C177" t="inlineStr">
        <is>
          <t>W2</t>
        </is>
      </c>
      <c r="F177">
        <f>IF(AND(D177&lt;&gt;"",E177&lt;&gt;""),(E177-D177)*1440,"")</f>
        <v/>
      </c>
    </row>
    <row r="178">
      <c r="A178" t="inlineStr">
        <is>
          <t>B</t>
        </is>
      </c>
      <c r="B178" t="inlineStr">
        <is>
          <t>I1</t>
        </is>
      </c>
      <c r="C178" t="inlineStr">
        <is>
          <t>W3</t>
        </is>
      </c>
      <c r="F178">
        <f>IF(AND(D178&lt;&gt;"",E178&lt;&gt;""),(E178-D178)*1440,"")</f>
        <v/>
      </c>
    </row>
    <row r="179">
      <c r="A179" t="inlineStr">
        <is>
          <t>B</t>
        </is>
      </c>
      <c r="B179" t="inlineStr">
        <is>
          <t>I1</t>
        </is>
      </c>
      <c r="C179" t="inlineStr">
        <is>
          <t>W4</t>
        </is>
      </c>
      <c r="F179">
        <f>IF(AND(D179&lt;&gt;"",E179&lt;&gt;""),(E179-D179)*1440,"")</f>
        <v/>
      </c>
    </row>
    <row r="180">
      <c r="A180" t="inlineStr">
        <is>
          <t>B</t>
        </is>
      </c>
      <c r="B180" t="inlineStr">
        <is>
          <t>I1</t>
        </is>
      </c>
      <c r="C180" t="inlineStr">
        <is>
          <t>W5</t>
        </is>
      </c>
      <c r="F180">
        <f>IF(AND(D180&lt;&gt;"",E180&lt;&gt;""),(E180-D180)*1440,"")</f>
        <v/>
      </c>
    </row>
    <row r="181">
      <c r="A181" t="inlineStr">
        <is>
          <t>B</t>
        </is>
      </c>
      <c r="B181" t="inlineStr">
        <is>
          <t>I1</t>
        </is>
      </c>
      <c r="C181" t="inlineStr">
        <is>
          <t>W6</t>
        </is>
      </c>
      <c r="F181">
        <f>IF(AND(D181&lt;&gt;"",E181&lt;&gt;""),(E181-D181)*1440,"")</f>
        <v/>
      </c>
    </row>
    <row r="182">
      <c r="A182" t="inlineStr">
        <is>
          <t>B</t>
        </is>
      </c>
      <c r="B182" t="inlineStr">
        <is>
          <t>I2</t>
        </is>
      </c>
      <c r="C182" t="inlineStr">
        <is>
          <t>W1</t>
        </is>
      </c>
      <c r="F182">
        <f>IF(AND(D182&lt;&gt;"",E182&lt;&gt;""),(E182-D182)*1440,"")</f>
        <v/>
      </c>
    </row>
    <row r="183">
      <c r="A183" t="inlineStr">
        <is>
          <t>B</t>
        </is>
      </c>
      <c r="B183" t="inlineStr">
        <is>
          <t>I2</t>
        </is>
      </c>
      <c r="C183" t="inlineStr">
        <is>
          <t>W2</t>
        </is>
      </c>
      <c r="F183">
        <f>IF(AND(D183&lt;&gt;"",E183&lt;&gt;""),(E183-D183)*1440,"")</f>
        <v/>
      </c>
    </row>
    <row r="184">
      <c r="A184" t="inlineStr">
        <is>
          <t>B</t>
        </is>
      </c>
      <c r="B184" t="inlineStr">
        <is>
          <t>I2</t>
        </is>
      </c>
      <c r="C184" t="inlineStr">
        <is>
          <t>W3</t>
        </is>
      </c>
      <c r="F184">
        <f>IF(AND(D184&lt;&gt;"",E184&lt;&gt;""),(E184-D184)*1440,"")</f>
        <v/>
      </c>
    </row>
    <row r="185">
      <c r="A185" t="inlineStr">
        <is>
          <t>B</t>
        </is>
      </c>
      <c r="B185" t="inlineStr">
        <is>
          <t>I2</t>
        </is>
      </c>
      <c r="C185" t="inlineStr">
        <is>
          <t>W4</t>
        </is>
      </c>
      <c r="F185">
        <f>IF(AND(D185&lt;&gt;"",E185&lt;&gt;""),(E185-D185)*1440,"")</f>
        <v/>
      </c>
    </row>
    <row r="186">
      <c r="A186" t="inlineStr">
        <is>
          <t>B</t>
        </is>
      </c>
      <c r="B186" t="inlineStr">
        <is>
          <t>I2</t>
        </is>
      </c>
      <c r="C186" t="inlineStr">
        <is>
          <t>W5</t>
        </is>
      </c>
      <c r="F186">
        <f>IF(AND(D186&lt;&gt;"",E186&lt;&gt;""),(E186-D186)*1440,"")</f>
        <v/>
      </c>
    </row>
    <row r="187">
      <c r="A187" t="inlineStr">
        <is>
          <t>B</t>
        </is>
      </c>
      <c r="B187" t="inlineStr">
        <is>
          <t>I2</t>
        </is>
      </c>
      <c r="C187" t="inlineStr">
        <is>
          <t>W6</t>
        </is>
      </c>
      <c r="F187">
        <f>IF(AND(D187&lt;&gt;"",E187&lt;&gt;""),(E187-D187)*1440,"")</f>
        <v/>
      </c>
    </row>
    <row r="188">
      <c r="A188" t="inlineStr">
        <is>
          <t>B</t>
        </is>
      </c>
      <c r="B188" t="inlineStr">
        <is>
          <t>I3</t>
        </is>
      </c>
      <c r="C188" t="inlineStr">
        <is>
          <t>W1</t>
        </is>
      </c>
      <c r="F188">
        <f>IF(AND(D188&lt;&gt;"",E188&lt;&gt;""),(E188-D188)*1440,"")</f>
        <v/>
      </c>
    </row>
    <row r="189">
      <c r="A189" t="inlineStr">
        <is>
          <t>B</t>
        </is>
      </c>
      <c r="B189" t="inlineStr">
        <is>
          <t>I3</t>
        </is>
      </c>
      <c r="C189" t="inlineStr">
        <is>
          <t>W2</t>
        </is>
      </c>
      <c r="F189">
        <f>IF(AND(D189&lt;&gt;"",E189&lt;&gt;""),(E189-D189)*1440,"")</f>
        <v/>
      </c>
    </row>
    <row r="190">
      <c r="A190" t="inlineStr">
        <is>
          <t>B</t>
        </is>
      </c>
      <c r="B190" t="inlineStr">
        <is>
          <t>I3</t>
        </is>
      </c>
      <c r="C190" t="inlineStr">
        <is>
          <t>W3</t>
        </is>
      </c>
      <c r="F190">
        <f>IF(AND(D190&lt;&gt;"",E190&lt;&gt;""),(E190-D190)*1440,"")</f>
        <v/>
      </c>
    </row>
    <row r="191">
      <c r="A191" t="inlineStr">
        <is>
          <t>B</t>
        </is>
      </c>
      <c r="B191" t="inlineStr">
        <is>
          <t>I3</t>
        </is>
      </c>
      <c r="C191" t="inlineStr">
        <is>
          <t>W4</t>
        </is>
      </c>
      <c r="F191">
        <f>IF(AND(D191&lt;&gt;"",E191&lt;&gt;""),(E191-D191)*1440,"")</f>
        <v/>
      </c>
    </row>
    <row r="192">
      <c r="A192" t="inlineStr">
        <is>
          <t>B</t>
        </is>
      </c>
      <c r="B192" t="inlineStr">
        <is>
          <t>I3</t>
        </is>
      </c>
      <c r="C192" t="inlineStr">
        <is>
          <t>W5</t>
        </is>
      </c>
      <c r="F192">
        <f>IF(AND(D192&lt;&gt;"",E192&lt;&gt;""),(E192-D192)*1440,"")</f>
        <v/>
      </c>
    </row>
    <row r="193">
      <c r="A193" t="inlineStr">
        <is>
          <t>B</t>
        </is>
      </c>
      <c r="B193" t="inlineStr">
        <is>
          <t>I3</t>
        </is>
      </c>
      <c r="C193" t="inlineStr">
        <is>
          <t>W6</t>
        </is>
      </c>
      <c r="F193">
        <f>IF(AND(D193&lt;&gt;"",E193&lt;&gt;""),(E193-D193)*1440,"")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7" customWidth="1" min="7" max="7"/>
  </cols>
  <sheetData>
    <row r="1">
      <c r="A1" s="3" t="inlineStr">
        <is>
          <t>Casa</t>
        </is>
      </c>
      <c r="B1" s="3" t="inlineStr">
        <is>
          <t>Passo</t>
        </is>
      </c>
      <c r="C1" s="3" t="inlineStr">
        <is>
          <t>Inicio</t>
        </is>
      </c>
      <c r="D1" s="3" t="inlineStr">
        <is>
          <t>Fim</t>
        </is>
      </c>
      <c r="E1" s="3" t="inlineStr">
        <is>
          <t>Minutos</t>
        </is>
      </c>
      <c r="F1" s="3" t="inlineStr">
        <is>
          <t>Equipe (n)</t>
        </is>
      </c>
      <c r="G1" s="3" t="inlineStr">
        <is>
          <t>Intercorrencia</t>
        </is>
      </c>
    </row>
    <row r="2">
      <c r="A2" t="inlineStr">
        <is>
          <t>A</t>
        </is>
      </c>
      <c r="B2" t="inlineStr">
        <is>
          <t>GM-01</t>
        </is>
      </c>
      <c r="E2">
        <f>IF(AND(C2&lt;&gt;"",D2&lt;&gt;""),(D2-C2)*1440,"")</f>
        <v/>
      </c>
    </row>
    <row r="3">
      <c r="A3" t="inlineStr">
        <is>
          <t>A</t>
        </is>
      </c>
      <c r="B3" t="inlineStr">
        <is>
          <t>A-1</t>
        </is>
      </c>
      <c r="E3">
        <f>IF(AND(C3&lt;&gt;"",D3&lt;&gt;""),(D3-C3)*1440,"")</f>
        <v/>
      </c>
    </row>
    <row r="4">
      <c r="A4" t="inlineStr">
        <is>
          <t>A</t>
        </is>
      </c>
      <c r="B4" t="inlineStr">
        <is>
          <t>A-2</t>
        </is>
      </c>
      <c r="E4">
        <f>IF(AND(C4&lt;&gt;"",D4&lt;&gt;""),(D4-C4)*1440,"")</f>
        <v/>
      </c>
    </row>
    <row r="5">
      <c r="A5" t="inlineStr">
        <is>
          <t>A</t>
        </is>
      </c>
      <c r="B5" t="inlineStr">
        <is>
          <t>A-3</t>
        </is>
      </c>
      <c r="E5">
        <f>IF(AND(C5&lt;&gt;"",D5&lt;&gt;""),(D5-C5)*1440,"")</f>
        <v/>
      </c>
    </row>
    <row r="6">
      <c r="A6" t="inlineStr">
        <is>
          <t>A</t>
        </is>
      </c>
      <c r="B6" t="inlineStr">
        <is>
          <t>A-4</t>
        </is>
      </c>
      <c r="E6">
        <f>IF(AND(C6&lt;&gt;"",D6&lt;&gt;""),(D6-C6)*1440,"")</f>
        <v/>
      </c>
    </row>
    <row r="7">
      <c r="A7" t="inlineStr">
        <is>
          <t>A</t>
        </is>
      </c>
      <c r="B7" t="inlineStr">
        <is>
          <t>A-5</t>
        </is>
      </c>
      <c r="E7">
        <f>IF(AND(C7&lt;&gt;"",D7&lt;&gt;""),(D7-C7)*1440,"")</f>
        <v/>
      </c>
    </row>
    <row r="8">
      <c r="A8" t="inlineStr">
        <is>
          <t>A</t>
        </is>
      </c>
      <c r="B8" t="inlineStr">
        <is>
          <t>A-6</t>
        </is>
      </c>
      <c r="E8">
        <f>IF(AND(C8&lt;&gt;"",D8&lt;&gt;""),(D8-C8)*1440,"")</f>
        <v/>
      </c>
    </row>
    <row r="9">
      <c r="A9" t="inlineStr">
        <is>
          <t>A</t>
        </is>
      </c>
      <c r="B9" t="inlineStr">
        <is>
          <t>A-7</t>
        </is>
      </c>
      <c r="E9">
        <f>IF(AND(C9&lt;&gt;"",D9&lt;&gt;""),(D9-C9)*1440,"")</f>
        <v/>
      </c>
    </row>
    <row r="10">
      <c r="A10" t="inlineStr">
        <is>
          <t>A</t>
        </is>
      </c>
      <c r="B10" t="inlineStr">
        <is>
          <t>A-8</t>
        </is>
      </c>
      <c r="E10">
        <f>IF(AND(C10&lt;&gt;"",D10&lt;&gt;""),(D10-C10)*1440,"")</f>
        <v/>
      </c>
    </row>
    <row r="11">
      <c r="A11" t="inlineStr">
        <is>
          <t>A</t>
        </is>
      </c>
      <c r="B11" t="inlineStr">
        <is>
          <t>B-1</t>
        </is>
      </c>
      <c r="E11">
        <f>IF(AND(C11&lt;&gt;"",D11&lt;&gt;""),(D11-C11)*1440,"")</f>
        <v/>
      </c>
    </row>
    <row r="12">
      <c r="A12" t="inlineStr">
        <is>
          <t>A</t>
        </is>
      </c>
      <c r="B12" t="inlineStr">
        <is>
          <t>B-2</t>
        </is>
      </c>
      <c r="E12">
        <f>IF(AND(C12&lt;&gt;"",D12&lt;&gt;""),(D12-C12)*1440,"")</f>
        <v/>
      </c>
    </row>
    <row r="13">
      <c r="A13" t="inlineStr">
        <is>
          <t>A</t>
        </is>
      </c>
      <c r="B13" t="inlineStr">
        <is>
          <t>B-3</t>
        </is>
      </c>
      <c r="E13">
        <f>IF(AND(C13&lt;&gt;"",D13&lt;&gt;""),(D13-C13)*1440,"")</f>
        <v/>
      </c>
    </row>
    <row r="14">
      <c r="A14" t="inlineStr">
        <is>
          <t>A</t>
        </is>
      </c>
      <c r="B14" t="inlineStr">
        <is>
          <t>B-4</t>
        </is>
      </c>
      <c r="E14">
        <f>IF(AND(C14&lt;&gt;"",D14&lt;&gt;""),(D14-C14)*1440,"")</f>
        <v/>
      </c>
    </row>
    <row r="15">
      <c r="A15" t="inlineStr">
        <is>
          <t>A</t>
        </is>
      </c>
      <c r="B15" t="inlineStr">
        <is>
          <t>B-5</t>
        </is>
      </c>
      <c r="E15">
        <f>IF(AND(C15&lt;&gt;"",D15&lt;&gt;""),(D15-C15)*1440,"")</f>
        <v/>
      </c>
    </row>
    <row r="16">
      <c r="A16" t="inlineStr">
        <is>
          <t>A</t>
        </is>
      </c>
      <c r="B16" t="inlineStr">
        <is>
          <t>B-6</t>
        </is>
      </c>
      <c r="E16">
        <f>IF(AND(C16&lt;&gt;"",D16&lt;&gt;""),(D16-C16)*1440,"")</f>
        <v/>
      </c>
    </row>
    <row r="17">
      <c r="A17" t="inlineStr">
        <is>
          <t>A</t>
        </is>
      </c>
      <c r="B17" t="inlineStr">
        <is>
          <t>B-7</t>
        </is>
      </c>
      <c r="E17">
        <f>IF(AND(C17&lt;&gt;"",D17&lt;&gt;""),(D17-C17)*1440,"")</f>
        <v/>
      </c>
    </row>
    <row r="18">
      <c r="A18" t="inlineStr">
        <is>
          <t>A</t>
        </is>
      </c>
      <c r="B18" t="inlineStr">
        <is>
          <t>B-8</t>
        </is>
      </c>
      <c r="E18">
        <f>IF(AND(C18&lt;&gt;"",D18&lt;&gt;""),(D18-C18)*1440,"")</f>
        <v/>
      </c>
    </row>
    <row r="19">
      <c r="A19" t="inlineStr">
        <is>
          <t>A</t>
        </is>
      </c>
      <c r="B19" t="inlineStr">
        <is>
          <t>ANEL</t>
        </is>
      </c>
      <c r="E19">
        <f>IF(AND(C19&lt;&gt;"",D19&lt;&gt;""),(D19-C19)*1440,"")</f>
        <v/>
      </c>
    </row>
    <row r="20">
      <c r="A20" t="inlineStr">
        <is>
          <t>A</t>
        </is>
      </c>
      <c r="B20" t="inlineStr">
        <is>
          <t>JUNTAS</t>
        </is>
      </c>
      <c r="E20">
        <f>IF(AND(C20&lt;&gt;"",D20&lt;&gt;""),(D20-C20)*1440,"")</f>
        <v/>
      </c>
    </row>
    <row r="21">
      <c r="A21" t="inlineStr">
        <is>
          <t>A</t>
        </is>
      </c>
      <c r="B21" t="inlineStr">
        <is>
          <t>FORRO</t>
        </is>
      </c>
      <c r="E21">
        <f>IF(AND(C21&lt;&gt;"",D21&lt;&gt;""),(D21-C21)*1440,"")</f>
        <v/>
      </c>
    </row>
    <row r="22">
      <c r="A22" t="inlineStr">
        <is>
          <t>A</t>
        </is>
      </c>
      <c r="B22" t="inlineStr">
        <is>
          <t>PTB</t>
        </is>
      </c>
      <c r="E22">
        <f>IF(AND(C22&lt;&gt;"",D22&lt;&gt;""),(D22-C22)*1440,"")</f>
        <v/>
      </c>
    </row>
    <row r="23">
      <c r="A23" t="inlineStr">
        <is>
          <t>A</t>
        </is>
      </c>
      <c r="B23" t="inlineStr">
        <is>
          <t>CASSETES</t>
        </is>
      </c>
      <c r="E23">
        <f>IF(AND(C23&lt;&gt;"",D23&lt;&gt;""),(D23-C23)*1440,"")</f>
        <v/>
      </c>
    </row>
    <row r="24">
      <c r="A24" t="inlineStr">
        <is>
          <t>A</t>
        </is>
      </c>
      <c r="B24" t="inlineStr">
        <is>
          <t>ACOPLAMENTO</t>
        </is>
      </c>
      <c r="E24">
        <f>IF(AND(C24&lt;&gt;"",D24&lt;&gt;""),(D24-C24)*1440,"")</f>
        <v/>
      </c>
    </row>
    <row r="25">
      <c r="A25" t="inlineStr">
        <is>
          <t>B</t>
        </is>
      </c>
      <c r="B25" t="inlineStr">
        <is>
          <t>GM-01</t>
        </is>
      </c>
      <c r="E25">
        <f>IF(AND(C25&lt;&gt;"",D25&lt;&gt;""),(D25-C25)*1440,"")</f>
        <v/>
      </c>
    </row>
    <row r="26">
      <c r="A26" t="inlineStr">
        <is>
          <t>B</t>
        </is>
      </c>
      <c r="B26" t="inlineStr">
        <is>
          <t>A-1</t>
        </is>
      </c>
      <c r="E26">
        <f>IF(AND(C26&lt;&gt;"",D26&lt;&gt;""),(D26-C26)*1440,"")</f>
        <v/>
      </c>
    </row>
    <row r="27">
      <c r="A27" t="inlineStr">
        <is>
          <t>B</t>
        </is>
      </c>
      <c r="B27" t="inlineStr">
        <is>
          <t>A-2</t>
        </is>
      </c>
      <c r="E27">
        <f>IF(AND(C27&lt;&gt;"",D27&lt;&gt;""),(D27-C27)*1440,"")</f>
        <v/>
      </c>
    </row>
    <row r="28">
      <c r="A28" t="inlineStr">
        <is>
          <t>B</t>
        </is>
      </c>
      <c r="B28" t="inlineStr">
        <is>
          <t>A-3</t>
        </is>
      </c>
      <c r="E28">
        <f>IF(AND(C28&lt;&gt;"",D28&lt;&gt;""),(D28-C28)*1440,"")</f>
        <v/>
      </c>
    </row>
    <row r="29">
      <c r="A29" t="inlineStr">
        <is>
          <t>B</t>
        </is>
      </c>
      <c r="B29" t="inlineStr">
        <is>
          <t>A-4</t>
        </is>
      </c>
      <c r="E29">
        <f>IF(AND(C29&lt;&gt;"",D29&lt;&gt;""),(D29-C29)*1440,"")</f>
        <v/>
      </c>
    </row>
    <row r="30">
      <c r="A30" t="inlineStr">
        <is>
          <t>B</t>
        </is>
      </c>
      <c r="B30" t="inlineStr">
        <is>
          <t>A-5</t>
        </is>
      </c>
      <c r="E30">
        <f>IF(AND(C30&lt;&gt;"",D30&lt;&gt;""),(D30-C30)*1440,"")</f>
        <v/>
      </c>
    </row>
    <row r="31">
      <c r="A31" t="inlineStr">
        <is>
          <t>B</t>
        </is>
      </c>
      <c r="B31" t="inlineStr">
        <is>
          <t>A-6</t>
        </is>
      </c>
      <c r="E31">
        <f>IF(AND(C31&lt;&gt;"",D31&lt;&gt;""),(D31-C31)*1440,"")</f>
        <v/>
      </c>
    </row>
    <row r="32">
      <c r="A32" t="inlineStr">
        <is>
          <t>B</t>
        </is>
      </c>
      <c r="B32" t="inlineStr">
        <is>
          <t>A-7</t>
        </is>
      </c>
      <c r="E32">
        <f>IF(AND(C32&lt;&gt;"",D32&lt;&gt;""),(D32-C32)*1440,"")</f>
        <v/>
      </c>
    </row>
    <row r="33">
      <c r="A33" t="inlineStr">
        <is>
          <t>B</t>
        </is>
      </c>
      <c r="B33" t="inlineStr">
        <is>
          <t>A-8</t>
        </is>
      </c>
      <c r="E33">
        <f>IF(AND(C33&lt;&gt;"",D33&lt;&gt;""),(D33-C33)*1440,"")</f>
        <v/>
      </c>
    </row>
    <row r="34">
      <c r="A34" t="inlineStr">
        <is>
          <t>B</t>
        </is>
      </c>
      <c r="B34" t="inlineStr">
        <is>
          <t>B-1</t>
        </is>
      </c>
      <c r="E34">
        <f>IF(AND(C34&lt;&gt;"",D34&lt;&gt;""),(D34-C34)*1440,"")</f>
        <v/>
      </c>
    </row>
    <row r="35">
      <c r="A35" t="inlineStr">
        <is>
          <t>B</t>
        </is>
      </c>
      <c r="B35" t="inlineStr">
        <is>
          <t>B-2</t>
        </is>
      </c>
      <c r="E35">
        <f>IF(AND(C35&lt;&gt;"",D35&lt;&gt;""),(D35-C35)*1440,"")</f>
        <v/>
      </c>
    </row>
    <row r="36">
      <c r="A36" t="inlineStr">
        <is>
          <t>B</t>
        </is>
      </c>
      <c r="B36" t="inlineStr">
        <is>
          <t>B-3</t>
        </is>
      </c>
      <c r="E36">
        <f>IF(AND(C36&lt;&gt;"",D36&lt;&gt;""),(D36-C36)*1440,"")</f>
        <v/>
      </c>
    </row>
    <row r="37">
      <c r="A37" t="inlineStr">
        <is>
          <t>B</t>
        </is>
      </c>
      <c r="B37" t="inlineStr">
        <is>
          <t>B-4</t>
        </is>
      </c>
      <c r="E37">
        <f>IF(AND(C37&lt;&gt;"",D37&lt;&gt;""),(D37-C37)*1440,"")</f>
        <v/>
      </c>
    </row>
    <row r="38">
      <c r="A38" t="inlineStr">
        <is>
          <t>B</t>
        </is>
      </c>
      <c r="B38" t="inlineStr">
        <is>
          <t>B-5</t>
        </is>
      </c>
      <c r="E38">
        <f>IF(AND(C38&lt;&gt;"",D38&lt;&gt;""),(D38-C38)*1440,"")</f>
        <v/>
      </c>
    </row>
    <row r="39">
      <c r="A39" t="inlineStr">
        <is>
          <t>B</t>
        </is>
      </c>
      <c r="B39" t="inlineStr">
        <is>
          <t>B-6</t>
        </is>
      </c>
      <c r="E39">
        <f>IF(AND(C39&lt;&gt;"",D39&lt;&gt;""),(D39-C39)*1440,"")</f>
        <v/>
      </c>
    </row>
    <row r="40">
      <c r="A40" t="inlineStr">
        <is>
          <t>B</t>
        </is>
      </c>
      <c r="B40" t="inlineStr">
        <is>
          <t>B-7</t>
        </is>
      </c>
      <c r="E40">
        <f>IF(AND(C40&lt;&gt;"",D40&lt;&gt;""),(D40-C40)*1440,"")</f>
        <v/>
      </c>
    </row>
    <row r="41">
      <c r="A41" t="inlineStr">
        <is>
          <t>B</t>
        </is>
      </c>
      <c r="B41" t="inlineStr">
        <is>
          <t>B-8</t>
        </is>
      </c>
      <c r="E41">
        <f>IF(AND(C41&lt;&gt;"",D41&lt;&gt;""),(D41-C41)*1440,"")</f>
        <v/>
      </c>
    </row>
    <row r="42">
      <c r="A42" t="inlineStr">
        <is>
          <t>B</t>
        </is>
      </c>
      <c r="B42" t="inlineStr">
        <is>
          <t>ANEL</t>
        </is>
      </c>
      <c r="E42">
        <f>IF(AND(C42&lt;&gt;"",D42&lt;&gt;""),(D42-C42)*1440,"")</f>
        <v/>
      </c>
    </row>
    <row r="43">
      <c r="A43" t="inlineStr">
        <is>
          <t>B</t>
        </is>
      </c>
      <c r="B43" t="inlineStr">
        <is>
          <t>JUNTAS</t>
        </is>
      </c>
      <c r="E43">
        <f>IF(AND(C43&lt;&gt;"",D43&lt;&gt;""),(D43-C43)*1440,"")</f>
        <v/>
      </c>
    </row>
    <row r="44">
      <c r="A44" t="inlineStr">
        <is>
          <t>B</t>
        </is>
      </c>
      <c r="B44" t="inlineStr">
        <is>
          <t>FORRO</t>
        </is>
      </c>
      <c r="E44">
        <f>IF(AND(C44&lt;&gt;"",D44&lt;&gt;""),(D44-C44)*1440,"")</f>
        <v/>
      </c>
    </row>
    <row r="45">
      <c r="A45" t="inlineStr">
        <is>
          <t>B</t>
        </is>
      </c>
      <c r="B45" t="inlineStr">
        <is>
          <t>PTB</t>
        </is>
      </c>
      <c r="E45">
        <f>IF(AND(C45&lt;&gt;"",D45&lt;&gt;""),(D45-C45)*1440,"")</f>
        <v/>
      </c>
    </row>
    <row r="46">
      <c r="A46" t="inlineStr">
        <is>
          <t>B</t>
        </is>
      </c>
      <c r="B46" t="inlineStr">
        <is>
          <t>CASSETES</t>
        </is>
      </c>
      <c r="E46">
        <f>IF(AND(C46&lt;&gt;"",D46&lt;&gt;""),(D46-C46)*1440,"")</f>
        <v/>
      </c>
    </row>
    <row r="47">
      <c r="A47" t="inlineStr">
        <is>
          <t>B</t>
        </is>
      </c>
      <c r="B47" t="inlineStr">
        <is>
          <t>ACOPLAMENTO</t>
        </is>
      </c>
      <c r="E47">
        <f>IF(AND(C47&lt;&gt;"",D47&lt;&gt;""),(D47-C47)*1440,"")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3" customWidth="1" min="4" max="4"/>
    <col width="17" customWidth="1" min="5" max="5"/>
    <col width="12" customWidth="1" min="6" max="6"/>
  </cols>
  <sheetData>
    <row r="1">
      <c r="A1" s="3" t="inlineStr">
        <is>
          <t>Casa</t>
        </is>
      </c>
      <c r="B1" s="3" t="inlineStr">
        <is>
          <t>SKU</t>
        </is>
      </c>
      <c r="C1" s="3" t="inlineStr">
        <is>
          <t>Nº retoques</t>
        </is>
      </c>
      <c r="D1" s="3" t="inlineStr">
        <is>
          <t>Tipo (fissura/marca/escorrido)</t>
        </is>
      </c>
      <c r="E1" s="3" t="inlineStr">
        <is>
          <t>Causa provavel</t>
        </is>
      </c>
      <c r="F1" s="3" t="inlineStr">
        <is>
          <t>Foto (ID)</t>
        </is>
      </c>
    </row>
    <row r="2">
      <c r="A2" t="inlineStr">
        <is>
          <t>A</t>
        </is>
      </c>
      <c r="B2" t="inlineStr">
        <is>
          <t>F4-A</t>
        </is>
      </c>
    </row>
    <row r="3">
      <c r="A3" t="inlineStr">
        <is>
          <t>A</t>
        </is>
      </c>
      <c r="B3" t="inlineStr">
        <is>
          <t>F1</t>
        </is>
      </c>
    </row>
    <row r="4">
      <c r="A4" t="inlineStr">
        <is>
          <t>A</t>
        </is>
      </c>
      <c r="B4" t="inlineStr">
        <is>
          <t>F3-A</t>
        </is>
      </c>
    </row>
    <row r="5">
      <c r="A5" t="inlineStr">
        <is>
          <t>A</t>
        </is>
      </c>
      <c r="B5" t="inlineStr">
        <is>
          <t>F5-A</t>
        </is>
      </c>
    </row>
    <row r="6">
      <c r="A6" t="inlineStr">
        <is>
          <t>A</t>
        </is>
      </c>
      <c r="B6" t="inlineStr">
        <is>
          <t>JUNTA-A</t>
        </is>
      </c>
    </row>
    <row r="7">
      <c r="A7" t="inlineStr">
        <is>
          <t>A</t>
        </is>
      </c>
      <c r="B7" t="inlineStr">
        <is>
          <t>IA1</t>
        </is>
      </c>
    </row>
    <row r="8">
      <c r="A8" t="inlineStr">
        <is>
          <t>A</t>
        </is>
      </c>
      <c r="B8" t="inlineStr">
        <is>
          <t>IA2</t>
        </is>
      </c>
    </row>
    <row r="9">
      <c r="A9" t="inlineStr">
        <is>
          <t>A</t>
        </is>
      </c>
      <c r="B9" t="inlineStr">
        <is>
          <t>IAN</t>
        </is>
      </c>
    </row>
    <row r="10">
      <c r="A10" t="inlineStr">
        <is>
          <t>A</t>
        </is>
      </c>
      <c r="B10" t="inlineStr">
        <is>
          <t>F4-B</t>
        </is>
      </c>
    </row>
    <row r="11">
      <c r="A11" t="inlineStr">
        <is>
          <t>A</t>
        </is>
      </c>
      <c r="B11" t="inlineStr">
        <is>
          <t>F2</t>
        </is>
      </c>
    </row>
    <row r="12">
      <c r="A12" t="inlineStr">
        <is>
          <t>A</t>
        </is>
      </c>
      <c r="B12" t="inlineStr">
        <is>
          <t>F3-B</t>
        </is>
      </c>
    </row>
    <row r="13">
      <c r="A13" t="inlineStr">
        <is>
          <t>A</t>
        </is>
      </c>
      <c r="B13" t="inlineStr">
        <is>
          <t>F5-B</t>
        </is>
      </c>
    </row>
    <row r="14">
      <c r="A14" t="inlineStr">
        <is>
          <t>A</t>
        </is>
      </c>
      <c r="B14" t="inlineStr">
        <is>
          <t>JUNTA-B</t>
        </is>
      </c>
    </row>
    <row r="15">
      <c r="A15" t="inlineStr">
        <is>
          <t>A</t>
        </is>
      </c>
      <c r="B15" t="inlineStr">
        <is>
          <t>I1</t>
        </is>
      </c>
    </row>
    <row r="16">
      <c r="A16" t="inlineStr">
        <is>
          <t>A</t>
        </is>
      </c>
      <c r="B16" t="inlineStr">
        <is>
          <t>I2</t>
        </is>
      </c>
    </row>
    <row r="17">
      <c r="A17" t="inlineStr">
        <is>
          <t>A</t>
        </is>
      </c>
      <c r="B17" t="inlineStr">
        <is>
          <t>I3</t>
        </is>
      </c>
    </row>
    <row r="18">
      <c r="A18" t="inlineStr">
        <is>
          <t>B</t>
        </is>
      </c>
      <c r="B18" t="inlineStr">
        <is>
          <t>F4-A</t>
        </is>
      </c>
    </row>
    <row r="19">
      <c r="A19" t="inlineStr">
        <is>
          <t>B</t>
        </is>
      </c>
      <c r="B19" t="inlineStr">
        <is>
          <t>F1</t>
        </is>
      </c>
    </row>
    <row r="20">
      <c r="A20" t="inlineStr">
        <is>
          <t>B</t>
        </is>
      </c>
      <c r="B20" t="inlineStr">
        <is>
          <t>F3-A</t>
        </is>
      </c>
    </row>
    <row r="21">
      <c r="A21" t="inlineStr">
        <is>
          <t>B</t>
        </is>
      </c>
      <c r="B21" t="inlineStr">
        <is>
          <t>F5-A</t>
        </is>
      </c>
    </row>
    <row r="22">
      <c r="A22" t="inlineStr">
        <is>
          <t>B</t>
        </is>
      </c>
      <c r="B22" t="inlineStr">
        <is>
          <t>JUNTA-A</t>
        </is>
      </c>
    </row>
    <row r="23">
      <c r="A23" t="inlineStr">
        <is>
          <t>B</t>
        </is>
      </c>
      <c r="B23" t="inlineStr">
        <is>
          <t>IA1</t>
        </is>
      </c>
    </row>
    <row r="24">
      <c r="A24" t="inlineStr">
        <is>
          <t>B</t>
        </is>
      </c>
      <c r="B24" t="inlineStr">
        <is>
          <t>IA2</t>
        </is>
      </c>
    </row>
    <row r="25">
      <c r="A25" t="inlineStr">
        <is>
          <t>B</t>
        </is>
      </c>
      <c r="B25" t="inlineStr">
        <is>
          <t>IAN</t>
        </is>
      </c>
    </row>
    <row r="26">
      <c r="A26" t="inlineStr">
        <is>
          <t>B</t>
        </is>
      </c>
      <c r="B26" t="inlineStr">
        <is>
          <t>F4-B</t>
        </is>
      </c>
    </row>
    <row r="27">
      <c r="A27" t="inlineStr">
        <is>
          <t>B</t>
        </is>
      </c>
      <c r="B27" t="inlineStr">
        <is>
          <t>F2</t>
        </is>
      </c>
    </row>
    <row r="28">
      <c r="A28" t="inlineStr">
        <is>
          <t>B</t>
        </is>
      </c>
      <c r="B28" t="inlineStr">
        <is>
          <t>F3-B</t>
        </is>
      </c>
    </row>
    <row r="29">
      <c r="A29" t="inlineStr">
        <is>
          <t>B</t>
        </is>
      </c>
      <c r="B29" t="inlineStr">
        <is>
          <t>F5-B</t>
        </is>
      </c>
    </row>
    <row r="30">
      <c r="A30" t="inlineStr">
        <is>
          <t>B</t>
        </is>
      </c>
      <c r="B30" t="inlineStr">
        <is>
          <t>JUNTA-B</t>
        </is>
      </c>
    </row>
    <row r="31">
      <c r="A31" t="inlineStr">
        <is>
          <t>B</t>
        </is>
      </c>
      <c r="B31" t="inlineStr">
        <is>
          <t>I1</t>
        </is>
      </c>
    </row>
    <row r="32">
      <c r="A32" t="inlineStr">
        <is>
          <t>B</t>
        </is>
      </c>
      <c r="B32" t="inlineStr">
        <is>
          <t>I2</t>
        </is>
      </c>
    </row>
    <row r="33">
      <c r="A33" t="inlineStr">
        <is>
          <t>B</t>
        </is>
      </c>
      <c r="B33" t="inlineStr">
        <is>
          <t>I3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9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Casa</t>
        </is>
      </c>
      <c r="B1" s="3" t="inlineStr">
        <is>
          <t>SKU</t>
        </is>
      </c>
      <c r="C1" s="3" t="inlineStr">
        <is>
          <t>Familia PF</t>
        </is>
      </c>
      <c r="D1" s="3" t="inlineStr">
        <is>
          <t>Esperado (ficha)</t>
        </is>
      </c>
      <c r="E1" s="3" t="inlineStr">
        <is>
          <t>Contado</t>
        </is>
      </c>
      <c r="F1" s="3" t="inlineStr">
        <is>
          <t>Delta</t>
        </is>
      </c>
      <c r="G1" s="3" t="inlineStr">
        <is>
          <t>Acao</t>
        </is>
      </c>
    </row>
    <row r="2">
      <c r="A2" t="inlineStr">
        <is>
          <t>A</t>
        </is>
      </c>
      <c r="B2" t="inlineStr">
        <is>
          <t>F4-A</t>
        </is>
      </c>
      <c r="C2" t="inlineStr">
        <is>
          <t>PF-1</t>
        </is>
      </c>
      <c r="F2">
        <f>IF(AND(D2&lt;&gt;"",E2&lt;&gt;""),E2-D2,"")</f>
        <v/>
      </c>
    </row>
    <row r="3">
      <c r="A3" t="inlineStr">
        <is>
          <t>A</t>
        </is>
      </c>
      <c r="B3" t="inlineStr">
        <is>
          <t>F4-A</t>
        </is>
      </c>
      <c r="C3" t="inlineStr">
        <is>
          <t>PF-2</t>
        </is>
      </c>
      <c r="F3">
        <f>IF(AND(D3&lt;&gt;"",E3&lt;&gt;""),E3-D3,"")</f>
        <v/>
      </c>
    </row>
    <row r="4">
      <c r="A4" t="inlineStr">
        <is>
          <t>A</t>
        </is>
      </c>
      <c r="B4" t="inlineStr">
        <is>
          <t>F4-A</t>
        </is>
      </c>
      <c r="C4" t="inlineStr">
        <is>
          <t>PF-3</t>
        </is>
      </c>
      <c r="F4">
        <f>IF(AND(D4&lt;&gt;"",E4&lt;&gt;""),E4-D4,"")</f>
        <v/>
      </c>
    </row>
    <row r="5">
      <c r="A5" t="inlineStr">
        <is>
          <t>A</t>
        </is>
      </c>
      <c r="B5" t="inlineStr">
        <is>
          <t>F1</t>
        </is>
      </c>
      <c r="C5" t="inlineStr">
        <is>
          <t>PF-1</t>
        </is>
      </c>
      <c r="F5">
        <f>IF(AND(D5&lt;&gt;"",E5&lt;&gt;""),E5-D5,"")</f>
        <v/>
      </c>
    </row>
    <row r="6">
      <c r="A6" t="inlineStr">
        <is>
          <t>A</t>
        </is>
      </c>
      <c r="B6" t="inlineStr">
        <is>
          <t>F1</t>
        </is>
      </c>
      <c r="C6" t="inlineStr">
        <is>
          <t>PF-2</t>
        </is>
      </c>
      <c r="F6">
        <f>IF(AND(D6&lt;&gt;"",E6&lt;&gt;""),E6-D6,"")</f>
        <v/>
      </c>
    </row>
    <row r="7">
      <c r="A7" t="inlineStr">
        <is>
          <t>A</t>
        </is>
      </c>
      <c r="B7" t="inlineStr">
        <is>
          <t>F1</t>
        </is>
      </c>
      <c r="C7" t="inlineStr">
        <is>
          <t>PF-3</t>
        </is>
      </c>
      <c r="F7">
        <f>IF(AND(D7&lt;&gt;"",E7&lt;&gt;""),E7-D7,"")</f>
        <v/>
      </c>
    </row>
    <row r="8">
      <c r="A8" t="inlineStr">
        <is>
          <t>A</t>
        </is>
      </c>
      <c r="B8" t="inlineStr">
        <is>
          <t>F3-A</t>
        </is>
      </c>
      <c r="C8" t="inlineStr">
        <is>
          <t>PF-1</t>
        </is>
      </c>
      <c r="F8">
        <f>IF(AND(D8&lt;&gt;"",E8&lt;&gt;""),E8-D8,"")</f>
        <v/>
      </c>
    </row>
    <row r="9">
      <c r="A9" t="inlineStr">
        <is>
          <t>A</t>
        </is>
      </c>
      <c r="B9" t="inlineStr">
        <is>
          <t>F3-A</t>
        </is>
      </c>
      <c r="C9" t="inlineStr">
        <is>
          <t>PF-2</t>
        </is>
      </c>
      <c r="F9">
        <f>IF(AND(D9&lt;&gt;"",E9&lt;&gt;""),E9-D9,"")</f>
        <v/>
      </c>
    </row>
    <row r="10">
      <c r="A10" t="inlineStr">
        <is>
          <t>A</t>
        </is>
      </c>
      <c r="B10" t="inlineStr">
        <is>
          <t>F3-A</t>
        </is>
      </c>
      <c r="C10" t="inlineStr">
        <is>
          <t>PF-3</t>
        </is>
      </c>
      <c r="F10">
        <f>IF(AND(D10&lt;&gt;"",E10&lt;&gt;""),E10-D10,"")</f>
        <v/>
      </c>
    </row>
    <row r="11">
      <c r="A11" t="inlineStr">
        <is>
          <t>A</t>
        </is>
      </c>
      <c r="B11" t="inlineStr">
        <is>
          <t>F5-A</t>
        </is>
      </c>
      <c r="C11" t="inlineStr">
        <is>
          <t>PF-1</t>
        </is>
      </c>
      <c r="F11">
        <f>IF(AND(D11&lt;&gt;"",E11&lt;&gt;""),E11-D11,"")</f>
        <v/>
      </c>
    </row>
    <row r="12">
      <c r="A12" t="inlineStr">
        <is>
          <t>A</t>
        </is>
      </c>
      <c r="B12" t="inlineStr">
        <is>
          <t>F5-A</t>
        </is>
      </c>
      <c r="C12" t="inlineStr">
        <is>
          <t>PF-2</t>
        </is>
      </c>
      <c r="F12">
        <f>IF(AND(D12&lt;&gt;"",E12&lt;&gt;""),E12-D12,"")</f>
        <v/>
      </c>
    </row>
    <row r="13">
      <c r="A13" t="inlineStr">
        <is>
          <t>A</t>
        </is>
      </c>
      <c r="B13" t="inlineStr">
        <is>
          <t>F5-A</t>
        </is>
      </c>
      <c r="C13" t="inlineStr">
        <is>
          <t>PF-3</t>
        </is>
      </c>
      <c r="F13">
        <f>IF(AND(D13&lt;&gt;"",E13&lt;&gt;""),E13-D13,"")</f>
        <v/>
      </c>
    </row>
    <row r="14">
      <c r="A14" t="inlineStr">
        <is>
          <t>A</t>
        </is>
      </c>
      <c r="B14" t="inlineStr">
        <is>
          <t>JUNTA-A</t>
        </is>
      </c>
      <c r="C14" t="inlineStr">
        <is>
          <t>PF-1</t>
        </is>
      </c>
      <c r="F14">
        <f>IF(AND(D14&lt;&gt;"",E14&lt;&gt;""),E14-D14,"")</f>
        <v/>
      </c>
    </row>
    <row r="15">
      <c r="A15" t="inlineStr">
        <is>
          <t>A</t>
        </is>
      </c>
      <c r="B15" t="inlineStr">
        <is>
          <t>JUNTA-A</t>
        </is>
      </c>
      <c r="C15" t="inlineStr">
        <is>
          <t>PF-2</t>
        </is>
      </c>
      <c r="F15">
        <f>IF(AND(D15&lt;&gt;"",E15&lt;&gt;""),E15-D15,"")</f>
        <v/>
      </c>
    </row>
    <row r="16">
      <c r="A16" t="inlineStr">
        <is>
          <t>A</t>
        </is>
      </c>
      <c r="B16" t="inlineStr">
        <is>
          <t>JUNTA-A</t>
        </is>
      </c>
      <c r="C16" t="inlineStr">
        <is>
          <t>PF-3</t>
        </is>
      </c>
      <c r="F16">
        <f>IF(AND(D16&lt;&gt;"",E16&lt;&gt;""),E16-D16,"")</f>
        <v/>
      </c>
    </row>
    <row r="17">
      <c r="A17" t="inlineStr">
        <is>
          <t>A</t>
        </is>
      </c>
      <c r="B17" t="inlineStr">
        <is>
          <t>IA1</t>
        </is>
      </c>
      <c r="C17" t="inlineStr">
        <is>
          <t>PF-1</t>
        </is>
      </c>
      <c r="F17">
        <f>IF(AND(D17&lt;&gt;"",E17&lt;&gt;""),E17-D17,"")</f>
        <v/>
      </c>
    </row>
    <row r="18">
      <c r="A18" t="inlineStr">
        <is>
          <t>A</t>
        </is>
      </c>
      <c r="B18" t="inlineStr">
        <is>
          <t>IA1</t>
        </is>
      </c>
      <c r="C18" t="inlineStr">
        <is>
          <t>PF-2</t>
        </is>
      </c>
      <c r="F18">
        <f>IF(AND(D18&lt;&gt;"",E18&lt;&gt;""),E18-D18,"")</f>
        <v/>
      </c>
    </row>
    <row r="19">
      <c r="A19" t="inlineStr">
        <is>
          <t>A</t>
        </is>
      </c>
      <c r="B19" t="inlineStr">
        <is>
          <t>IA1</t>
        </is>
      </c>
      <c r="C19" t="inlineStr">
        <is>
          <t>PF-3</t>
        </is>
      </c>
      <c r="F19">
        <f>IF(AND(D19&lt;&gt;"",E19&lt;&gt;""),E19-D19,"")</f>
        <v/>
      </c>
    </row>
    <row r="20">
      <c r="A20" t="inlineStr">
        <is>
          <t>A</t>
        </is>
      </c>
      <c r="B20" t="inlineStr">
        <is>
          <t>IA2</t>
        </is>
      </c>
      <c r="C20" t="inlineStr">
        <is>
          <t>PF-1</t>
        </is>
      </c>
      <c r="F20">
        <f>IF(AND(D20&lt;&gt;"",E20&lt;&gt;""),E20-D20,"")</f>
        <v/>
      </c>
    </row>
    <row r="21">
      <c r="A21" t="inlineStr">
        <is>
          <t>A</t>
        </is>
      </c>
      <c r="B21" t="inlineStr">
        <is>
          <t>IA2</t>
        </is>
      </c>
      <c r="C21" t="inlineStr">
        <is>
          <t>PF-2</t>
        </is>
      </c>
      <c r="F21">
        <f>IF(AND(D21&lt;&gt;"",E21&lt;&gt;""),E21-D21,"")</f>
        <v/>
      </c>
    </row>
    <row r="22">
      <c r="A22" t="inlineStr">
        <is>
          <t>A</t>
        </is>
      </c>
      <c r="B22" t="inlineStr">
        <is>
          <t>IA2</t>
        </is>
      </c>
      <c r="C22" t="inlineStr">
        <is>
          <t>PF-3</t>
        </is>
      </c>
      <c r="F22">
        <f>IF(AND(D22&lt;&gt;"",E22&lt;&gt;""),E22-D22,"")</f>
        <v/>
      </c>
    </row>
    <row r="23">
      <c r="A23" t="inlineStr">
        <is>
          <t>A</t>
        </is>
      </c>
      <c r="B23" t="inlineStr">
        <is>
          <t>IAN</t>
        </is>
      </c>
      <c r="C23" t="inlineStr">
        <is>
          <t>PF-1</t>
        </is>
      </c>
      <c r="F23">
        <f>IF(AND(D23&lt;&gt;"",E23&lt;&gt;""),E23-D23,"")</f>
        <v/>
      </c>
    </row>
    <row r="24">
      <c r="A24" t="inlineStr">
        <is>
          <t>A</t>
        </is>
      </c>
      <c r="B24" t="inlineStr">
        <is>
          <t>IAN</t>
        </is>
      </c>
      <c r="C24" t="inlineStr">
        <is>
          <t>PF-2</t>
        </is>
      </c>
      <c r="F24">
        <f>IF(AND(D24&lt;&gt;"",E24&lt;&gt;""),E24-D24,"")</f>
        <v/>
      </c>
    </row>
    <row r="25">
      <c r="A25" t="inlineStr">
        <is>
          <t>A</t>
        </is>
      </c>
      <c r="B25" t="inlineStr">
        <is>
          <t>IAN</t>
        </is>
      </c>
      <c r="C25" t="inlineStr">
        <is>
          <t>PF-3</t>
        </is>
      </c>
      <c r="F25">
        <f>IF(AND(D25&lt;&gt;"",E25&lt;&gt;""),E25-D25,"")</f>
        <v/>
      </c>
    </row>
    <row r="26">
      <c r="A26" t="inlineStr">
        <is>
          <t>A</t>
        </is>
      </c>
      <c r="B26" t="inlineStr">
        <is>
          <t>F4-B</t>
        </is>
      </c>
      <c r="C26" t="inlineStr">
        <is>
          <t>PF-1</t>
        </is>
      </c>
      <c r="F26">
        <f>IF(AND(D26&lt;&gt;"",E26&lt;&gt;""),E26-D26,"")</f>
        <v/>
      </c>
    </row>
    <row r="27">
      <c r="A27" t="inlineStr">
        <is>
          <t>A</t>
        </is>
      </c>
      <c r="B27" t="inlineStr">
        <is>
          <t>F4-B</t>
        </is>
      </c>
      <c r="C27" t="inlineStr">
        <is>
          <t>PF-2</t>
        </is>
      </c>
      <c r="F27">
        <f>IF(AND(D27&lt;&gt;"",E27&lt;&gt;""),E27-D27,"")</f>
        <v/>
      </c>
    </row>
    <row r="28">
      <c r="A28" t="inlineStr">
        <is>
          <t>A</t>
        </is>
      </c>
      <c r="B28" t="inlineStr">
        <is>
          <t>F4-B</t>
        </is>
      </c>
      <c r="C28" t="inlineStr">
        <is>
          <t>PF-3</t>
        </is>
      </c>
      <c r="F28">
        <f>IF(AND(D28&lt;&gt;"",E28&lt;&gt;""),E28-D28,"")</f>
        <v/>
      </c>
    </row>
    <row r="29">
      <c r="A29" t="inlineStr">
        <is>
          <t>A</t>
        </is>
      </c>
      <c r="B29" t="inlineStr">
        <is>
          <t>F2</t>
        </is>
      </c>
      <c r="C29" t="inlineStr">
        <is>
          <t>PF-1</t>
        </is>
      </c>
      <c r="F29">
        <f>IF(AND(D29&lt;&gt;"",E29&lt;&gt;""),E29-D29,"")</f>
        <v/>
      </c>
    </row>
    <row r="30">
      <c r="A30" t="inlineStr">
        <is>
          <t>A</t>
        </is>
      </c>
      <c r="B30" t="inlineStr">
        <is>
          <t>F2</t>
        </is>
      </c>
      <c r="C30" t="inlineStr">
        <is>
          <t>PF-2</t>
        </is>
      </c>
      <c r="F30">
        <f>IF(AND(D30&lt;&gt;"",E30&lt;&gt;""),E30-D30,"")</f>
        <v/>
      </c>
    </row>
    <row r="31">
      <c r="A31" t="inlineStr">
        <is>
          <t>A</t>
        </is>
      </c>
      <c r="B31" t="inlineStr">
        <is>
          <t>F2</t>
        </is>
      </c>
      <c r="C31" t="inlineStr">
        <is>
          <t>PF-3</t>
        </is>
      </c>
      <c r="F31">
        <f>IF(AND(D31&lt;&gt;"",E31&lt;&gt;""),E31-D31,"")</f>
        <v/>
      </c>
    </row>
    <row r="32">
      <c r="A32" t="inlineStr">
        <is>
          <t>A</t>
        </is>
      </c>
      <c r="B32" t="inlineStr">
        <is>
          <t>F3-B</t>
        </is>
      </c>
      <c r="C32" t="inlineStr">
        <is>
          <t>PF-1</t>
        </is>
      </c>
      <c r="F32">
        <f>IF(AND(D32&lt;&gt;"",E32&lt;&gt;""),E32-D32,"")</f>
        <v/>
      </c>
    </row>
    <row r="33">
      <c r="A33" t="inlineStr">
        <is>
          <t>A</t>
        </is>
      </c>
      <c r="B33" t="inlineStr">
        <is>
          <t>F3-B</t>
        </is>
      </c>
      <c r="C33" t="inlineStr">
        <is>
          <t>PF-2</t>
        </is>
      </c>
      <c r="F33">
        <f>IF(AND(D33&lt;&gt;"",E33&lt;&gt;""),E33-D33,"")</f>
        <v/>
      </c>
    </row>
    <row r="34">
      <c r="A34" t="inlineStr">
        <is>
          <t>A</t>
        </is>
      </c>
      <c r="B34" t="inlineStr">
        <is>
          <t>F3-B</t>
        </is>
      </c>
      <c r="C34" t="inlineStr">
        <is>
          <t>PF-3</t>
        </is>
      </c>
      <c r="F34">
        <f>IF(AND(D34&lt;&gt;"",E34&lt;&gt;""),E34-D34,"")</f>
        <v/>
      </c>
    </row>
    <row r="35">
      <c r="A35" t="inlineStr">
        <is>
          <t>A</t>
        </is>
      </c>
      <c r="B35" t="inlineStr">
        <is>
          <t>F5-B</t>
        </is>
      </c>
      <c r="C35" t="inlineStr">
        <is>
          <t>PF-1</t>
        </is>
      </c>
      <c r="F35">
        <f>IF(AND(D35&lt;&gt;"",E35&lt;&gt;""),E35-D35,"")</f>
        <v/>
      </c>
    </row>
    <row r="36">
      <c r="A36" t="inlineStr">
        <is>
          <t>A</t>
        </is>
      </c>
      <c r="B36" t="inlineStr">
        <is>
          <t>F5-B</t>
        </is>
      </c>
      <c r="C36" t="inlineStr">
        <is>
          <t>PF-2</t>
        </is>
      </c>
      <c r="F36">
        <f>IF(AND(D36&lt;&gt;"",E36&lt;&gt;""),E36-D36,"")</f>
        <v/>
      </c>
    </row>
    <row r="37">
      <c r="A37" t="inlineStr">
        <is>
          <t>A</t>
        </is>
      </c>
      <c r="B37" t="inlineStr">
        <is>
          <t>F5-B</t>
        </is>
      </c>
      <c r="C37" t="inlineStr">
        <is>
          <t>PF-3</t>
        </is>
      </c>
      <c r="F37">
        <f>IF(AND(D37&lt;&gt;"",E37&lt;&gt;""),E37-D37,"")</f>
        <v/>
      </c>
    </row>
    <row r="38">
      <c r="A38" t="inlineStr">
        <is>
          <t>A</t>
        </is>
      </c>
      <c r="B38" t="inlineStr">
        <is>
          <t>JUNTA-B</t>
        </is>
      </c>
      <c r="C38" t="inlineStr">
        <is>
          <t>PF-1</t>
        </is>
      </c>
      <c r="F38">
        <f>IF(AND(D38&lt;&gt;"",E38&lt;&gt;""),E38-D38,"")</f>
        <v/>
      </c>
    </row>
    <row r="39">
      <c r="A39" t="inlineStr">
        <is>
          <t>A</t>
        </is>
      </c>
      <c r="B39" t="inlineStr">
        <is>
          <t>JUNTA-B</t>
        </is>
      </c>
      <c r="C39" t="inlineStr">
        <is>
          <t>PF-2</t>
        </is>
      </c>
      <c r="F39">
        <f>IF(AND(D39&lt;&gt;"",E39&lt;&gt;""),E39-D39,"")</f>
        <v/>
      </c>
    </row>
    <row r="40">
      <c r="A40" t="inlineStr">
        <is>
          <t>A</t>
        </is>
      </c>
      <c r="B40" t="inlineStr">
        <is>
          <t>JUNTA-B</t>
        </is>
      </c>
      <c r="C40" t="inlineStr">
        <is>
          <t>PF-3</t>
        </is>
      </c>
      <c r="F40">
        <f>IF(AND(D40&lt;&gt;"",E40&lt;&gt;""),E40-D40,"")</f>
        <v/>
      </c>
    </row>
    <row r="41">
      <c r="A41" t="inlineStr">
        <is>
          <t>A</t>
        </is>
      </c>
      <c r="B41" t="inlineStr">
        <is>
          <t>I1</t>
        </is>
      </c>
      <c r="C41" t="inlineStr">
        <is>
          <t>PF-1</t>
        </is>
      </c>
      <c r="F41">
        <f>IF(AND(D41&lt;&gt;"",E41&lt;&gt;""),E41-D41,"")</f>
        <v/>
      </c>
    </row>
    <row r="42">
      <c r="A42" t="inlineStr">
        <is>
          <t>A</t>
        </is>
      </c>
      <c r="B42" t="inlineStr">
        <is>
          <t>I1</t>
        </is>
      </c>
      <c r="C42" t="inlineStr">
        <is>
          <t>PF-2</t>
        </is>
      </c>
      <c r="F42">
        <f>IF(AND(D42&lt;&gt;"",E42&lt;&gt;""),E42-D42,"")</f>
        <v/>
      </c>
    </row>
    <row r="43">
      <c r="A43" t="inlineStr">
        <is>
          <t>A</t>
        </is>
      </c>
      <c r="B43" t="inlineStr">
        <is>
          <t>I1</t>
        </is>
      </c>
      <c r="C43" t="inlineStr">
        <is>
          <t>PF-3</t>
        </is>
      </c>
      <c r="F43">
        <f>IF(AND(D43&lt;&gt;"",E43&lt;&gt;""),E43-D43,"")</f>
        <v/>
      </c>
    </row>
    <row r="44">
      <c r="A44" t="inlineStr">
        <is>
          <t>A</t>
        </is>
      </c>
      <c r="B44" t="inlineStr">
        <is>
          <t>I2</t>
        </is>
      </c>
      <c r="C44" t="inlineStr">
        <is>
          <t>PF-1</t>
        </is>
      </c>
      <c r="F44">
        <f>IF(AND(D44&lt;&gt;"",E44&lt;&gt;""),E44-D44,"")</f>
        <v/>
      </c>
    </row>
    <row r="45">
      <c r="A45" t="inlineStr">
        <is>
          <t>A</t>
        </is>
      </c>
      <c r="B45" t="inlineStr">
        <is>
          <t>I2</t>
        </is>
      </c>
      <c r="C45" t="inlineStr">
        <is>
          <t>PF-2</t>
        </is>
      </c>
      <c r="F45">
        <f>IF(AND(D45&lt;&gt;"",E45&lt;&gt;""),E45-D45,"")</f>
        <v/>
      </c>
    </row>
    <row r="46">
      <c r="A46" t="inlineStr">
        <is>
          <t>A</t>
        </is>
      </c>
      <c r="B46" t="inlineStr">
        <is>
          <t>I2</t>
        </is>
      </c>
      <c r="C46" t="inlineStr">
        <is>
          <t>PF-3</t>
        </is>
      </c>
      <c r="F46">
        <f>IF(AND(D46&lt;&gt;"",E46&lt;&gt;""),E46-D46,"")</f>
        <v/>
      </c>
    </row>
    <row r="47">
      <c r="A47" t="inlineStr">
        <is>
          <t>A</t>
        </is>
      </c>
      <c r="B47" t="inlineStr">
        <is>
          <t>I3</t>
        </is>
      </c>
      <c r="C47" t="inlineStr">
        <is>
          <t>PF-1</t>
        </is>
      </c>
      <c r="F47">
        <f>IF(AND(D47&lt;&gt;"",E47&lt;&gt;""),E47-D47,"")</f>
        <v/>
      </c>
    </row>
    <row r="48">
      <c r="A48" t="inlineStr">
        <is>
          <t>A</t>
        </is>
      </c>
      <c r="B48" t="inlineStr">
        <is>
          <t>I3</t>
        </is>
      </c>
      <c r="C48" t="inlineStr">
        <is>
          <t>PF-2</t>
        </is>
      </c>
      <c r="F48">
        <f>IF(AND(D48&lt;&gt;"",E48&lt;&gt;""),E48-D48,"")</f>
        <v/>
      </c>
    </row>
    <row r="49">
      <c r="A49" t="inlineStr">
        <is>
          <t>A</t>
        </is>
      </c>
      <c r="B49" t="inlineStr">
        <is>
          <t>I3</t>
        </is>
      </c>
      <c r="C49" t="inlineStr">
        <is>
          <t>PF-3</t>
        </is>
      </c>
      <c r="F49">
        <f>IF(AND(D49&lt;&gt;"",E49&lt;&gt;""),E49-D49,"")</f>
        <v/>
      </c>
    </row>
    <row r="50">
      <c r="A50" t="inlineStr">
        <is>
          <t>B</t>
        </is>
      </c>
      <c r="B50" t="inlineStr">
        <is>
          <t>F4-A</t>
        </is>
      </c>
      <c r="C50" t="inlineStr">
        <is>
          <t>PF-1</t>
        </is>
      </c>
      <c r="F50">
        <f>IF(AND(D50&lt;&gt;"",E50&lt;&gt;""),E50-D50,"")</f>
        <v/>
      </c>
    </row>
    <row r="51">
      <c r="A51" t="inlineStr">
        <is>
          <t>B</t>
        </is>
      </c>
      <c r="B51" t="inlineStr">
        <is>
          <t>F4-A</t>
        </is>
      </c>
      <c r="C51" t="inlineStr">
        <is>
          <t>PF-2</t>
        </is>
      </c>
      <c r="F51">
        <f>IF(AND(D51&lt;&gt;"",E51&lt;&gt;""),E51-D51,"")</f>
        <v/>
      </c>
    </row>
    <row r="52">
      <c r="A52" t="inlineStr">
        <is>
          <t>B</t>
        </is>
      </c>
      <c r="B52" t="inlineStr">
        <is>
          <t>F4-A</t>
        </is>
      </c>
      <c r="C52" t="inlineStr">
        <is>
          <t>PF-3</t>
        </is>
      </c>
      <c r="F52">
        <f>IF(AND(D52&lt;&gt;"",E52&lt;&gt;""),E52-D52,"")</f>
        <v/>
      </c>
    </row>
    <row r="53">
      <c r="A53" t="inlineStr">
        <is>
          <t>B</t>
        </is>
      </c>
      <c r="B53" t="inlineStr">
        <is>
          <t>F1</t>
        </is>
      </c>
      <c r="C53" t="inlineStr">
        <is>
          <t>PF-1</t>
        </is>
      </c>
      <c r="F53">
        <f>IF(AND(D53&lt;&gt;"",E53&lt;&gt;""),E53-D53,"")</f>
        <v/>
      </c>
    </row>
    <row r="54">
      <c r="A54" t="inlineStr">
        <is>
          <t>B</t>
        </is>
      </c>
      <c r="B54" t="inlineStr">
        <is>
          <t>F1</t>
        </is>
      </c>
      <c r="C54" t="inlineStr">
        <is>
          <t>PF-2</t>
        </is>
      </c>
      <c r="F54">
        <f>IF(AND(D54&lt;&gt;"",E54&lt;&gt;""),E54-D54,"")</f>
        <v/>
      </c>
    </row>
    <row r="55">
      <c r="A55" t="inlineStr">
        <is>
          <t>B</t>
        </is>
      </c>
      <c r="B55" t="inlineStr">
        <is>
          <t>F1</t>
        </is>
      </c>
      <c r="C55" t="inlineStr">
        <is>
          <t>PF-3</t>
        </is>
      </c>
      <c r="F55">
        <f>IF(AND(D55&lt;&gt;"",E55&lt;&gt;""),E55-D55,"")</f>
        <v/>
      </c>
    </row>
    <row r="56">
      <c r="A56" t="inlineStr">
        <is>
          <t>B</t>
        </is>
      </c>
      <c r="B56" t="inlineStr">
        <is>
          <t>F3-A</t>
        </is>
      </c>
      <c r="C56" t="inlineStr">
        <is>
          <t>PF-1</t>
        </is>
      </c>
      <c r="F56">
        <f>IF(AND(D56&lt;&gt;"",E56&lt;&gt;""),E56-D56,"")</f>
        <v/>
      </c>
    </row>
    <row r="57">
      <c r="A57" t="inlineStr">
        <is>
          <t>B</t>
        </is>
      </c>
      <c r="B57" t="inlineStr">
        <is>
          <t>F3-A</t>
        </is>
      </c>
      <c r="C57" t="inlineStr">
        <is>
          <t>PF-2</t>
        </is>
      </c>
      <c r="F57">
        <f>IF(AND(D57&lt;&gt;"",E57&lt;&gt;""),E57-D57,"")</f>
        <v/>
      </c>
    </row>
    <row r="58">
      <c r="A58" t="inlineStr">
        <is>
          <t>B</t>
        </is>
      </c>
      <c r="B58" t="inlineStr">
        <is>
          <t>F3-A</t>
        </is>
      </c>
      <c r="C58" t="inlineStr">
        <is>
          <t>PF-3</t>
        </is>
      </c>
      <c r="F58">
        <f>IF(AND(D58&lt;&gt;"",E58&lt;&gt;""),E58-D58,"")</f>
        <v/>
      </c>
    </row>
    <row r="59">
      <c r="A59" t="inlineStr">
        <is>
          <t>B</t>
        </is>
      </c>
      <c r="B59" t="inlineStr">
        <is>
          <t>F5-A</t>
        </is>
      </c>
      <c r="C59" t="inlineStr">
        <is>
          <t>PF-1</t>
        </is>
      </c>
      <c r="F59">
        <f>IF(AND(D59&lt;&gt;"",E59&lt;&gt;""),E59-D59,"")</f>
        <v/>
      </c>
    </row>
    <row r="60">
      <c r="A60" t="inlineStr">
        <is>
          <t>B</t>
        </is>
      </c>
      <c r="B60" t="inlineStr">
        <is>
          <t>F5-A</t>
        </is>
      </c>
      <c r="C60" t="inlineStr">
        <is>
          <t>PF-2</t>
        </is>
      </c>
      <c r="F60">
        <f>IF(AND(D60&lt;&gt;"",E60&lt;&gt;""),E60-D60,"")</f>
        <v/>
      </c>
    </row>
    <row r="61">
      <c r="A61" t="inlineStr">
        <is>
          <t>B</t>
        </is>
      </c>
      <c r="B61" t="inlineStr">
        <is>
          <t>F5-A</t>
        </is>
      </c>
      <c r="C61" t="inlineStr">
        <is>
          <t>PF-3</t>
        </is>
      </c>
      <c r="F61">
        <f>IF(AND(D61&lt;&gt;"",E61&lt;&gt;""),E61-D61,"")</f>
        <v/>
      </c>
    </row>
    <row r="62">
      <c r="A62" t="inlineStr">
        <is>
          <t>B</t>
        </is>
      </c>
      <c r="B62" t="inlineStr">
        <is>
          <t>JUNTA-A</t>
        </is>
      </c>
      <c r="C62" t="inlineStr">
        <is>
          <t>PF-1</t>
        </is>
      </c>
      <c r="F62">
        <f>IF(AND(D62&lt;&gt;"",E62&lt;&gt;""),E62-D62,"")</f>
        <v/>
      </c>
    </row>
    <row r="63">
      <c r="A63" t="inlineStr">
        <is>
          <t>B</t>
        </is>
      </c>
      <c r="B63" t="inlineStr">
        <is>
          <t>JUNTA-A</t>
        </is>
      </c>
      <c r="C63" t="inlineStr">
        <is>
          <t>PF-2</t>
        </is>
      </c>
      <c r="F63">
        <f>IF(AND(D63&lt;&gt;"",E63&lt;&gt;""),E63-D63,"")</f>
        <v/>
      </c>
    </row>
    <row r="64">
      <c r="A64" t="inlineStr">
        <is>
          <t>B</t>
        </is>
      </c>
      <c r="B64" t="inlineStr">
        <is>
          <t>JUNTA-A</t>
        </is>
      </c>
      <c r="C64" t="inlineStr">
        <is>
          <t>PF-3</t>
        </is>
      </c>
      <c r="F64">
        <f>IF(AND(D64&lt;&gt;"",E64&lt;&gt;""),E64-D64,"")</f>
        <v/>
      </c>
    </row>
    <row r="65">
      <c r="A65" t="inlineStr">
        <is>
          <t>B</t>
        </is>
      </c>
      <c r="B65" t="inlineStr">
        <is>
          <t>IA1</t>
        </is>
      </c>
      <c r="C65" t="inlineStr">
        <is>
          <t>PF-1</t>
        </is>
      </c>
      <c r="F65">
        <f>IF(AND(D65&lt;&gt;"",E65&lt;&gt;""),E65-D65,"")</f>
        <v/>
      </c>
    </row>
    <row r="66">
      <c r="A66" t="inlineStr">
        <is>
          <t>B</t>
        </is>
      </c>
      <c r="B66" t="inlineStr">
        <is>
          <t>IA1</t>
        </is>
      </c>
      <c r="C66" t="inlineStr">
        <is>
          <t>PF-2</t>
        </is>
      </c>
      <c r="F66">
        <f>IF(AND(D66&lt;&gt;"",E66&lt;&gt;""),E66-D66,"")</f>
        <v/>
      </c>
    </row>
    <row r="67">
      <c r="A67" t="inlineStr">
        <is>
          <t>B</t>
        </is>
      </c>
      <c r="B67" t="inlineStr">
        <is>
          <t>IA1</t>
        </is>
      </c>
      <c r="C67" t="inlineStr">
        <is>
          <t>PF-3</t>
        </is>
      </c>
      <c r="F67">
        <f>IF(AND(D67&lt;&gt;"",E67&lt;&gt;""),E67-D67,"")</f>
        <v/>
      </c>
    </row>
    <row r="68">
      <c r="A68" t="inlineStr">
        <is>
          <t>B</t>
        </is>
      </c>
      <c r="B68" t="inlineStr">
        <is>
          <t>IA2</t>
        </is>
      </c>
      <c r="C68" t="inlineStr">
        <is>
          <t>PF-1</t>
        </is>
      </c>
      <c r="F68">
        <f>IF(AND(D68&lt;&gt;"",E68&lt;&gt;""),E68-D68,"")</f>
        <v/>
      </c>
    </row>
    <row r="69">
      <c r="A69" t="inlineStr">
        <is>
          <t>B</t>
        </is>
      </c>
      <c r="B69" t="inlineStr">
        <is>
          <t>IA2</t>
        </is>
      </c>
      <c r="C69" t="inlineStr">
        <is>
          <t>PF-2</t>
        </is>
      </c>
      <c r="F69">
        <f>IF(AND(D69&lt;&gt;"",E69&lt;&gt;""),E69-D69,"")</f>
        <v/>
      </c>
    </row>
    <row r="70">
      <c r="A70" t="inlineStr">
        <is>
          <t>B</t>
        </is>
      </c>
      <c r="B70" t="inlineStr">
        <is>
          <t>IA2</t>
        </is>
      </c>
      <c r="C70" t="inlineStr">
        <is>
          <t>PF-3</t>
        </is>
      </c>
      <c r="F70">
        <f>IF(AND(D70&lt;&gt;"",E70&lt;&gt;""),E70-D70,"")</f>
        <v/>
      </c>
    </row>
    <row r="71">
      <c r="A71" t="inlineStr">
        <is>
          <t>B</t>
        </is>
      </c>
      <c r="B71" t="inlineStr">
        <is>
          <t>IAN</t>
        </is>
      </c>
      <c r="C71" t="inlineStr">
        <is>
          <t>PF-1</t>
        </is>
      </c>
      <c r="F71">
        <f>IF(AND(D71&lt;&gt;"",E71&lt;&gt;""),E71-D71,"")</f>
        <v/>
      </c>
    </row>
    <row r="72">
      <c r="A72" t="inlineStr">
        <is>
          <t>B</t>
        </is>
      </c>
      <c r="B72" t="inlineStr">
        <is>
          <t>IAN</t>
        </is>
      </c>
      <c r="C72" t="inlineStr">
        <is>
          <t>PF-2</t>
        </is>
      </c>
      <c r="F72">
        <f>IF(AND(D72&lt;&gt;"",E72&lt;&gt;""),E72-D72,"")</f>
        <v/>
      </c>
    </row>
    <row r="73">
      <c r="A73" t="inlineStr">
        <is>
          <t>B</t>
        </is>
      </c>
      <c r="B73" t="inlineStr">
        <is>
          <t>IAN</t>
        </is>
      </c>
      <c r="C73" t="inlineStr">
        <is>
          <t>PF-3</t>
        </is>
      </c>
      <c r="F73">
        <f>IF(AND(D73&lt;&gt;"",E73&lt;&gt;""),E73-D73,"")</f>
        <v/>
      </c>
    </row>
    <row r="74">
      <c r="A74" t="inlineStr">
        <is>
          <t>B</t>
        </is>
      </c>
      <c r="B74" t="inlineStr">
        <is>
          <t>F4-B</t>
        </is>
      </c>
      <c r="C74" t="inlineStr">
        <is>
          <t>PF-1</t>
        </is>
      </c>
      <c r="F74">
        <f>IF(AND(D74&lt;&gt;"",E74&lt;&gt;""),E74-D74,"")</f>
        <v/>
      </c>
    </row>
    <row r="75">
      <c r="A75" t="inlineStr">
        <is>
          <t>B</t>
        </is>
      </c>
      <c r="B75" t="inlineStr">
        <is>
          <t>F4-B</t>
        </is>
      </c>
      <c r="C75" t="inlineStr">
        <is>
          <t>PF-2</t>
        </is>
      </c>
      <c r="F75">
        <f>IF(AND(D75&lt;&gt;"",E75&lt;&gt;""),E75-D75,"")</f>
        <v/>
      </c>
    </row>
    <row r="76">
      <c r="A76" t="inlineStr">
        <is>
          <t>B</t>
        </is>
      </c>
      <c r="B76" t="inlineStr">
        <is>
          <t>F4-B</t>
        </is>
      </c>
      <c r="C76" t="inlineStr">
        <is>
          <t>PF-3</t>
        </is>
      </c>
      <c r="F76">
        <f>IF(AND(D76&lt;&gt;"",E76&lt;&gt;""),E76-D76,"")</f>
        <v/>
      </c>
    </row>
    <row r="77">
      <c r="A77" t="inlineStr">
        <is>
          <t>B</t>
        </is>
      </c>
      <c r="B77" t="inlineStr">
        <is>
          <t>F2</t>
        </is>
      </c>
      <c r="C77" t="inlineStr">
        <is>
          <t>PF-1</t>
        </is>
      </c>
      <c r="F77">
        <f>IF(AND(D77&lt;&gt;"",E77&lt;&gt;""),E77-D77,"")</f>
        <v/>
      </c>
    </row>
    <row r="78">
      <c r="A78" t="inlineStr">
        <is>
          <t>B</t>
        </is>
      </c>
      <c r="B78" t="inlineStr">
        <is>
          <t>F2</t>
        </is>
      </c>
      <c r="C78" t="inlineStr">
        <is>
          <t>PF-2</t>
        </is>
      </c>
      <c r="F78">
        <f>IF(AND(D78&lt;&gt;"",E78&lt;&gt;""),E78-D78,"")</f>
        <v/>
      </c>
    </row>
    <row r="79">
      <c r="A79" t="inlineStr">
        <is>
          <t>B</t>
        </is>
      </c>
      <c r="B79" t="inlineStr">
        <is>
          <t>F2</t>
        </is>
      </c>
      <c r="C79" t="inlineStr">
        <is>
          <t>PF-3</t>
        </is>
      </c>
      <c r="F79">
        <f>IF(AND(D79&lt;&gt;"",E79&lt;&gt;""),E79-D79,"")</f>
        <v/>
      </c>
    </row>
    <row r="80">
      <c r="A80" t="inlineStr">
        <is>
          <t>B</t>
        </is>
      </c>
      <c r="B80" t="inlineStr">
        <is>
          <t>F3-B</t>
        </is>
      </c>
      <c r="C80" t="inlineStr">
        <is>
          <t>PF-1</t>
        </is>
      </c>
      <c r="F80">
        <f>IF(AND(D80&lt;&gt;"",E80&lt;&gt;""),E80-D80,"")</f>
        <v/>
      </c>
    </row>
    <row r="81">
      <c r="A81" t="inlineStr">
        <is>
          <t>B</t>
        </is>
      </c>
      <c r="B81" t="inlineStr">
        <is>
          <t>F3-B</t>
        </is>
      </c>
      <c r="C81" t="inlineStr">
        <is>
          <t>PF-2</t>
        </is>
      </c>
      <c r="F81">
        <f>IF(AND(D81&lt;&gt;"",E81&lt;&gt;""),E81-D81,"")</f>
        <v/>
      </c>
    </row>
    <row r="82">
      <c r="A82" t="inlineStr">
        <is>
          <t>B</t>
        </is>
      </c>
      <c r="B82" t="inlineStr">
        <is>
          <t>F3-B</t>
        </is>
      </c>
      <c r="C82" t="inlineStr">
        <is>
          <t>PF-3</t>
        </is>
      </c>
      <c r="F82">
        <f>IF(AND(D82&lt;&gt;"",E82&lt;&gt;""),E82-D82,"")</f>
        <v/>
      </c>
    </row>
    <row r="83">
      <c r="A83" t="inlineStr">
        <is>
          <t>B</t>
        </is>
      </c>
      <c r="B83" t="inlineStr">
        <is>
          <t>F5-B</t>
        </is>
      </c>
      <c r="C83" t="inlineStr">
        <is>
          <t>PF-1</t>
        </is>
      </c>
      <c r="F83">
        <f>IF(AND(D83&lt;&gt;"",E83&lt;&gt;""),E83-D83,"")</f>
        <v/>
      </c>
    </row>
    <row r="84">
      <c r="A84" t="inlineStr">
        <is>
          <t>B</t>
        </is>
      </c>
      <c r="B84" t="inlineStr">
        <is>
          <t>F5-B</t>
        </is>
      </c>
      <c r="C84" t="inlineStr">
        <is>
          <t>PF-2</t>
        </is>
      </c>
      <c r="F84">
        <f>IF(AND(D84&lt;&gt;"",E84&lt;&gt;""),E84-D84,"")</f>
        <v/>
      </c>
    </row>
    <row r="85">
      <c r="A85" t="inlineStr">
        <is>
          <t>B</t>
        </is>
      </c>
      <c r="B85" t="inlineStr">
        <is>
          <t>F5-B</t>
        </is>
      </c>
      <c r="C85" t="inlineStr">
        <is>
          <t>PF-3</t>
        </is>
      </c>
      <c r="F85">
        <f>IF(AND(D85&lt;&gt;"",E85&lt;&gt;""),E85-D85,"")</f>
        <v/>
      </c>
    </row>
    <row r="86">
      <c r="A86" t="inlineStr">
        <is>
          <t>B</t>
        </is>
      </c>
      <c r="B86" t="inlineStr">
        <is>
          <t>JUNTA-B</t>
        </is>
      </c>
      <c r="C86" t="inlineStr">
        <is>
          <t>PF-1</t>
        </is>
      </c>
      <c r="F86">
        <f>IF(AND(D86&lt;&gt;"",E86&lt;&gt;""),E86-D86,"")</f>
        <v/>
      </c>
    </row>
    <row r="87">
      <c r="A87" t="inlineStr">
        <is>
          <t>B</t>
        </is>
      </c>
      <c r="B87" t="inlineStr">
        <is>
          <t>JUNTA-B</t>
        </is>
      </c>
      <c r="C87" t="inlineStr">
        <is>
          <t>PF-2</t>
        </is>
      </c>
      <c r="F87">
        <f>IF(AND(D87&lt;&gt;"",E87&lt;&gt;""),E87-D87,"")</f>
        <v/>
      </c>
    </row>
    <row r="88">
      <c r="A88" t="inlineStr">
        <is>
          <t>B</t>
        </is>
      </c>
      <c r="B88" t="inlineStr">
        <is>
          <t>JUNTA-B</t>
        </is>
      </c>
      <c r="C88" t="inlineStr">
        <is>
          <t>PF-3</t>
        </is>
      </c>
      <c r="F88">
        <f>IF(AND(D88&lt;&gt;"",E88&lt;&gt;""),E88-D88,"")</f>
        <v/>
      </c>
    </row>
    <row r="89">
      <c r="A89" t="inlineStr">
        <is>
          <t>B</t>
        </is>
      </c>
      <c r="B89" t="inlineStr">
        <is>
          <t>I1</t>
        </is>
      </c>
      <c r="C89" t="inlineStr">
        <is>
          <t>PF-1</t>
        </is>
      </c>
      <c r="F89">
        <f>IF(AND(D89&lt;&gt;"",E89&lt;&gt;""),E89-D89,"")</f>
        <v/>
      </c>
    </row>
    <row r="90">
      <c r="A90" t="inlineStr">
        <is>
          <t>B</t>
        </is>
      </c>
      <c r="B90" t="inlineStr">
        <is>
          <t>I1</t>
        </is>
      </c>
      <c r="C90" t="inlineStr">
        <is>
          <t>PF-2</t>
        </is>
      </c>
      <c r="F90">
        <f>IF(AND(D90&lt;&gt;"",E90&lt;&gt;""),E90-D90,"")</f>
        <v/>
      </c>
    </row>
    <row r="91">
      <c r="A91" t="inlineStr">
        <is>
          <t>B</t>
        </is>
      </c>
      <c r="B91" t="inlineStr">
        <is>
          <t>I1</t>
        </is>
      </c>
      <c r="C91" t="inlineStr">
        <is>
          <t>PF-3</t>
        </is>
      </c>
      <c r="F91">
        <f>IF(AND(D91&lt;&gt;"",E91&lt;&gt;""),E91-D91,"")</f>
        <v/>
      </c>
    </row>
    <row r="92">
      <c r="A92" t="inlineStr">
        <is>
          <t>B</t>
        </is>
      </c>
      <c r="B92" t="inlineStr">
        <is>
          <t>I2</t>
        </is>
      </c>
      <c r="C92" t="inlineStr">
        <is>
          <t>PF-1</t>
        </is>
      </c>
      <c r="F92">
        <f>IF(AND(D92&lt;&gt;"",E92&lt;&gt;""),E92-D92,"")</f>
        <v/>
      </c>
    </row>
    <row r="93">
      <c r="A93" t="inlineStr">
        <is>
          <t>B</t>
        </is>
      </c>
      <c r="B93" t="inlineStr">
        <is>
          <t>I2</t>
        </is>
      </c>
      <c r="C93" t="inlineStr">
        <is>
          <t>PF-2</t>
        </is>
      </c>
      <c r="F93">
        <f>IF(AND(D93&lt;&gt;"",E93&lt;&gt;""),E93-D93,"")</f>
        <v/>
      </c>
    </row>
    <row r="94">
      <c r="A94" t="inlineStr">
        <is>
          <t>B</t>
        </is>
      </c>
      <c r="B94" t="inlineStr">
        <is>
          <t>I2</t>
        </is>
      </c>
      <c r="C94" t="inlineStr">
        <is>
          <t>PF-3</t>
        </is>
      </c>
      <c r="F94">
        <f>IF(AND(D94&lt;&gt;"",E94&lt;&gt;""),E94-D94,"")</f>
        <v/>
      </c>
    </row>
    <row r="95">
      <c r="A95" t="inlineStr">
        <is>
          <t>B</t>
        </is>
      </c>
      <c r="B95" t="inlineStr">
        <is>
          <t>I3</t>
        </is>
      </c>
      <c r="C95" t="inlineStr">
        <is>
          <t>PF-1</t>
        </is>
      </c>
      <c r="F95">
        <f>IF(AND(D95&lt;&gt;"",E95&lt;&gt;""),E95-D95,"")</f>
        <v/>
      </c>
    </row>
    <row r="96">
      <c r="A96" t="inlineStr">
        <is>
          <t>B</t>
        </is>
      </c>
      <c r="B96" t="inlineStr">
        <is>
          <t>I3</t>
        </is>
      </c>
      <c r="C96" t="inlineStr">
        <is>
          <t>PF-2</t>
        </is>
      </c>
      <c r="F96">
        <f>IF(AND(D96&lt;&gt;"",E96&lt;&gt;""),E96-D96,"")</f>
        <v/>
      </c>
    </row>
    <row r="97">
      <c r="A97" t="inlineStr">
        <is>
          <t>B</t>
        </is>
      </c>
      <c r="B97" t="inlineStr">
        <is>
          <t>I3</t>
        </is>
      </c>
      <c r="C97" t="inlineStr">
        <is>
          <t>PF-3</t>
        </is>
      </c>
      <c r="F97">
        <f>IF(AND(D97&lt;&gt;"",E97&lt;&gt;""),E97-D97,"")</f>
        <v/>
      </c>
    </row>
    <row r="98">
      <c r="A98" t="inlineStr">
        <is>
          <t>A</t>
        </is>
      </c>
      <c r="B98" t="inlineStr">
        <is>
          <t>TODAS (junções JP)</t>
        </is>
      </c>
      <c r="C98" t="inlineStr">
        <is>
          <t>PF-J</t>
        </is>
      </c>
      <c r="F98">
        <f>IF(AND(D98&lt;&gt;"",E98&lt;&gt;""),E98-D98,"")</f>
        <v/>
      </c>
      <c r="G98" t="inlineStr">
        <is>
          <t>linha adicionada na R15 — achado M-04: PF-J não era rastreado</t>
        </is>
      </c>
    </row>
    <row r="99">
      <c r="A99" t="inlineStr">
        <is>
          <t>B</t>
        </is>
      </c>
      <c r="B99" t="inlineStr">
        <is>
          <t>TODAS (junções JP)</t>
        </is>
      </c>
      <c r="C99" t="inlineStr">
        <is>
          <t>PF-J</t>
        </is>
      </c>
      <c r="F99">
        <f>IF(AND(D99&lt;&gt;"",E99&lt;&gt;""),E99-D99,"")</f>
        <v/>
      </c>
      <c r="G99" t="inlineStr">
        <is>
          <t>linha adicionada na R15 — achado M-04: PF-J não era rastreado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1" customWidth="1" min="7" max="7"/>
  </cols>
  <sheetData>
    <row r="1">
      <c r="A1" s="3" t="inlineStr">
        <is>
          <t>Evento</t>
        </is>
      </c>
      <c r="B1" s="3" t="inlineStr">
        <is>
          <t>km</t>
        </is>
      </c>
      <c r="C1" s="3" t="inlineStr">
        <is>
          <t>g_max_X</t>
        </is>
      </c>
      <c r="D1" s="3" t="inlineStr">
        <is>
          <t>g_max_Y</t>
        </is>
      </c>
      <c r="E1" s="3" t="inlineStr">
        <is>
          <t>g_max_Z</t>
        </is>
      </c>
      <c r="F1" s="3" t="inlineStr">
        <is>
          <t>Duracao (min)</t>
        </is>
      </c>
      <c r="G1" s="3" t="inlineStr">
        <is>
          <t>Obs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2" customWidth="1" min="3" max="3"/>
    <col width="12" customWidth="1" min="4" max="4"/>
    <col width="23" customWidth="1" min="5" max="5"/>
    <col width="11" customWidth="1" min="6" max="6"/>
  </cols>
  <sheetData>
    <row r="1">
      <c r="A1" s="3" t="inlineStr">
        <is>
          <t>Tipo (teste/NC)</t>
        </is>
      </c>
      <c r="B1" s="3" t="inlineStr">
        <is>
          <t>Casa</t>
        </is>
      </c>
      <c r="C1" s="3" t="inlineStr">
        <is>
          <t>Ref (SKU/PIT/junta)</t>
        </is>
      </c>
      <c r="D1" s="3" t="inlineStr">
        <is>
          <t>Descricao</t>
        </is>
      </c>
      <c r="E1" s="3" t="inlineStr">
        <is>
          <t>Resultado/Disposicao</t>
        </is>
      </c>
      <c r="F1" s="3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2026-07-05T02:00:44Z</dcterms:created>
  <dcterms:modified xsi:type="dcterms:W3CDTF">2026-07-06T20:35:49Z</dcterms:modified>
</cp:coreProperties>
</file>