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1_Orcamento REV13" sheetId="1" state="visible" r:id="rId1"/>
    <sheet xmlns:r="http://schemas.openxmlformats.org/officeDocument/2006/relationships" name="02_Deltas REV7-REV8" sheetId="2" state="visible" r:id="rId2"/>
    <sheet xmlns:r="http://schemas.openxmlformats.org/officeDocument/2006/relationships" name="03_Deltas REV11-REV12" sheetId="3" state="visible" r:id="rId3"/>
    <sheet xmlns:r="http://schemas.openxmlformats.org/officeDocument/2006/relationships" name="04_Deltas REV12-REV13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4E3D"/>
      <sz val="12"/>
    </font>
    <font>
      <name val="Cambria"/>
      <charset val="1"/>
      <family val="0"/>
      <i val="1"/>
      <sz val="8"/>
    </font>
    <font>
      <name val="Cambria"/>
      <charset val="1"/>
      <family val="0"/>
      <b val="1"/>
      <sz val="9"/>
    </font>
    <font>
      <name val="Cambria"/>
      <charset val="1"/>
      <family val="0"/>
      <color rgb="FF0000FF"/>
      <sz val="9"/>
    </font>
    <font>
      <name val="Cambria"/>
      <charset val="1"/>
      <family val="0"/>
      <b val="1"/>
      <sz val="10"/>
    </font>
    <font>
      <name val="Cambria"/>
      <charset val="1"/>
      <family val="0"/>
      <b val="1"/>
      <sz val="11"/>
    </font>
    <font>
      <name val="Cambria"/>
      <charset val="1"/>
      <family val="0"/>
      <sz val="9"/>
    </font>
    <font>
      <b val="1"/>
    </font>
    <font>
      <b val="1"/>
      <color rgb="00C00000"/>
      <sz val="12"/>
    </font>
    <font>
      <b val="1"/>
      <color rgb="00FFFFFF"/>
    </font>
    <font>
      <b val="1"/>
      <color rgb="00C00000"/>
    </font>
    <font>
      <color rgb="00C00000"/>
      <sz val="9"/>
    </font>
  </fonts>
  <fills count="4">
    <fill>
      <patternFill/>
    </fill>
    <fill>
      <patternFill patternType="gray125"/>
    </fill>
    <fill>
      <patternFill patternType="solid">
        <fgColor rgb="FFD9E5DE"/>
        <bgColor rgb="FFCCCCFF"/>
      </patternFill>
    </fill>
    <fill>
      <patternFill patternType="solid">
        <fgColor rgb="000066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0" pivotButton="0" quotePrefix="0" xfId="0"/>
    <xf numFmtId="0" fontId="10" fillId="0" borderId="0" applyAlignment="1" pivotButton="0" quotePrefix="0" xfId="0">
      <alignment horizontal="general" vertical="bottom"/>
    </xf>
    <xf numFmtId="0" fontId="12" fillId="0" borderId="0" pivotButton="0" quotePrefix="0" xfId="0"/>
    <xf numFmtId="0" fontId="13" fillId="3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5D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1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8" min="1" max="1"/>
    <col width="13" customWidth="1" style="8" min="2" max="2"/>
    <col width="58" customWidth="1" style="8" min="3" max="3"/>
    <col width="9" customWidth="1" style="8" min="4" max="5"/>
    <col width="12" customWidth="1" style="8" min="6" max="6"/>
    <col width="13" customWidth="1" style="8" min="7" max="7"/>
    <col width="12" customWidth="1" style="8" min="8" max="8"/>
    <col width="7" customWidth="1" style="8" min="9" max="9"/>
    <col width="46" customWidth="1" style="8" min="10" max="10"/>
  </cols>
  <sheetData>
    <row r="1" ht="15" customHeight="1" s="9">
      <c r="A1" s="10" t="inlineStr">
        <is>
          <t>ORCAMENTO ANALITICO — MTX-PO-2026-001 · Casa Popular Bicas 70 · REV.11</t>
        </is>
      </c>
    </row>
    <row r="2" ht="15" customHeight="1" s="9">
      <c r="A2" s="11" t="inlineStr">
        <is>
          <t>REV.13 (05/07/2026): sistema PAREDE-PRONTA R5 + cotas R4-2,60 · R13: fichas realinhadas ao painel PIR autoportante (quadro só requadro; sem montantes intermediários/vergas) — SEM DELTA DE MATERIAL vs REV.12: o aço da aba 01/nesting já era mínimo; a correção é documental (fichas W1) e de kit PF-3 (206→152 un, dentro da verba do item 1.9)</t>
        </is>
      </c>
    </row>
    <row r="4" ht="15" customHeight="1" s="9">
      <c r="A4" s="12" t="inlineStr">
        <is>
          <t>Item</t>
        </is>
      </c>
      <c r="B4" s="12" t="inlineStr">
        <is>
          <t>Codigo</t>
        </is>
      </c>
      <c r="C4" s="12" t="inlineStr">
        <is>
          <t>Descricao do servico</t>
        </is>
      </c>
      <c r="D4" s="12" t="inlineStr">
        <is>
          <t>Un.</t>
        </is>
      </c>
      <c r="E4" s="12" t="inlineStr">
        <is>
          <t>Quant.</t>
        </is>
      </c>
      <c r="F4" s="12" t="inlineStr">
        <is>
          <t>P.Unit. (R$)</t>
        </is>
      </c>
      <c r="G4" s="12" t="inlineStr">
        <is>
          <t>Total (R$)</t>
        </is>
      </c>
      <c r="H4" s="12" t="inlineStr">
        <is>
          <t>Referencia</t>
        </is>
      </c>
      <c r="I4" s="12" t="inlineStr">
        <is>
          <t>Etapa</t>
        </is>
      </c>
      <c r="J4" s="12" t="inlineStr">
        <is>
          <t>Δ REV.10</t>
        </is>
      </c>
    </row>
    <row r="5" ht="15" customHeight="1" s="9">
      <c r="A5" s="12" t="inlineStr">
        <is>
          <t>1.0 ESTRUTURA METALICA (Composicao Propria MTX + SINAPI)</t>
        </is>
      </c>
    </row>
    <row r="6" ht="15" customHeight="1" s="9">
      <c r="A6" s="8" t="inlineStr">
        <is>
          <t>1.1</t>
        </is>
      </c>
      <c r="B6" s="8" t="inlineStr">
        <is>
          <t>COMP-MTX-01</t>
        </is>
      </c>
      <c r="C6" s="8" t="inlineStr">
        <is>
          <t>Perfil metalon BZ quadrado 70x70 mm chapa #14 galvanizado</t>
        </is>
      </c>
      <c r="D6" s="8" t="inlineStr">
        <is>
          <t>kg</t>
        </is>
      </c>
      <c r="E6" s="13" t="n">
        <v>738.6</v>
      </c>
      <c r="F6" s="13" t="n">
        <v>9</v>
      </c>
      <c r="G6" s="8">
        <f>E6*F6</f>
        <v/>
      </c>
      <c r="H6" s="8" t="inlineStr">
        <is>
          <t>COMP-MTX</t>
        </is>
      </c>
      <c r="I6" s="8" t="n">
        <v>1</v>
      </c>
      <c r="J6" s="11" t="inlineStr">
        <is>
          <t>Nesting R8 (12 barras): sem alteracao</t>
        </is>
      </c>
    </row>
    <row r="7" ht="15" customHeight="1" s="9">
      <c r="A7" s="8" t="inlineStr">
        <is>
          <t>1.2</t>
        </is>
      </c>
      <c r="B7" s="8" t="inlineStr">
        <is>
          <t>COMP-MTX-02</t>
        </is>
      </c>
      <c r="C7" s="8" t="inlineStr">
        <is>
          <t>Perfil U enrijecido (Ue) 100x50x17x2,0 mm — guias do requadro (sem vergas, R13)</t>
        </is>
      </c>
      <c r="D7" s="8" t="inlineStr">
        <is>
          <t>kg</t>
        </is>
      </c>
      <c r="E7" s="13" t="n">
        <v>572.5</v>
      </c>
      <c r="F7" s="13" t="n">
        <v>9</v>
      </c>
      <c r="G7" s="8">
        <f>E7*F7</f>
        <v/>
      </c>
      <c r="H7" s="8" t="inlineStr">
        <is>
          <t>COMP-MTX</t>
        </is>
      </c>
      <c r="I7" s="8" t="n">
        <v>1</v>
      </c>
      <c r="J7" s="11" t="inlineStr">
        <is>
          <t>Nesting R8 (13 barras): -88 kg — guias/ombreiras reorganizadas no novo layout</t>
        </is>
      </c>
    </row>
    <row r="8" ht="15" customHeight="1" s="9">
      <c r="A8" s="8" t="inlineStr">
        <is>
          <t>1.3</t>
        </is>
      </c>
      <c r="B8" s="8" t="inlineStr">
        <is>
          <t>COMP-MTX-03</t>
        </is>
      </c>
      <c r="C8" s="8" t="inlineStr">
        <is>
          <t>Perfil U simples 50x40x2,0 mm — travamentos</t>
        </is>
      </c>
      <c r="D8" s="8" t="inlineStr">
        <is>
          <t>kg</t>
        </is>
      </c>
      <c r="E8" s="13" t="n">
        <v>220.3</v>
      </c>
      <c r="F8" s="13" t="n">
        <v>9</v>
      </c>
      <c r="G8" s="8">
        <f>E8*F8</f>
        <v/>
      </c>
      <c r="H8" s="8" t="inlineStr">
        <is>
          <t>COMP-MTX</t>
        </is>
      </c>
      <c r="I8" s="8" t="n">
        <v>1</v>
      </c>
      <c r="J8" s="11" t="inlineStr">
        <is>
          <t>Nesting R8 (9 barras): sem alteracao</t>
        </is>
      </c>
    </row>
    <row r="9" ht="15" customHeight="1" s="9">
      <c r="A9" s="8" t="inlineStr">
        <is>
          <t>1.4</t>
        </is>
      </c>
      <c r="B9" s="8" t="inlineStr">
        <is>
          <t>COMP-MTX-04</t>
        </is>
      </c>
      <c r="C9" s="8" t="inlineStr">
        <is>
          <t>Perfil U simples 44x30x2,0 mm — ripas/tercas</t>
        </is>
      </c>
      <c r="D9" s="8" t="inlineStr">
        <is>
          <t>kg</t>
        </is>
      </c>
      <c r="E9" s="13" t="n">
        <v>254.3</v>
      </c>
      <c r="F9" s="13" t="n">
        <v>9</v>
      </c>
      <c r="G9" s="8">
        <f>E9*F9</f>
        <v/>
      </c>
      <c r="H9" s="8" t="inlineStr">
        <is>
          <t>COMP-MTX</t>
        </is>
      </c>
      <c r="I9" s="8" t="n">
        <v>1</v>
      </c>
      <c r="J9" s="11" t="inlineStr">
        <is>
          <t>Nesting R8 (13 barras): sem alteracao</t>
        </is>
      </c>
    </row>
    <row r="10" ht="15" customHeight="1" s="9">
      <c r="A10" s="8" t="inlineStr">
        <is>
          <t>1.5</t>
        </is>
      </c>
      <c r="B10" s="8" t="inlineStr">
        <is>
          <t>COMP-MTX-05</t>
        </is>
      </c>
      <c r="C10" s="8" t="inlineStr">
        <is>
          <t>Mao de obra: corte plasma CNC + dobra + montagem em bancada</t>
        </is>
      </c>
      <c r="D10" s="8" t="inlineStr">
        <is>
          <t>h-h</t>
        </is>
      </c>
      <c r="E10" s="13" t="n">
        <v>138</v>
      </c>
      <c r="F10" s="13" t="n">
        <v>38</v>
      </c>
      <c r="G10" s="8">
        <f>E10*F10</f>
        <v/>
      </c>
      <c r="H10" s="8" t="inlineStr">
        <is>
          <t>COMP-MTX</t>
        </is>
      </c>
      <c r="I10" s="8" t="n">
        <v>1</v>
      </c>
      <c r="J10" s="11" t="inlineStr">
        <is>
          <t>-2 h-h (aco -3%)</t>
        </is>
      </c>
    </row>
    <row r="11" ht="15" customHeight="1" s="9">
      <c r="A11" s="8" t="inlineStr">
        <is>
          <t>1.6</t>
        </is>
      </c>
      <c r="B11" s="8" t="inlineStr">
        <is>
          <t>73928/1</t>
        </is>
      </c>
      <c r="C11" s="8" t="inlineStr">
        <is>
          <t>Jateamento abrasivo SA 2 1/2 (NBR 15239)</t>
        </is>
      </c>
      <c r="D11" s="8" t="inlineStr">
        <is>
          <t>m²</t>
        </is>
      </c>
      <c r="E11" s="13" t="n">
        <v>73</v>
      </c>
      <c r="F11" s="13" t="n">
        <v>18</v>
      </c>
      <c r="G11" s="8">
        <f>E11*F11</f>
        <v/>
      </c>
      <c r="H11" s="8" t="inlineStr">
        <is>
          <t>SINAPI</t>
        </is>
      </c>
      <c r="I11" s="8" t="n">
        <v>1</v>
      </c>
      <c r="J11" s="11" t="inlineStr">
        <is>
          <t>-2 m² (aco -3%)</t>
        </is>
      </c>
    </row>
    <row r="12" ht="15" customHeight="1" s="9">
      <c r="A12" s="8" t="inlineStr">
        <is>
          <t>1.7</t>
        </is>
      </c>
      <c r="B12" s="8" t="inlineStr">
        <is>
          <t>73928/3</t>
        </is>
      </c>
      <c r="C12" s="8" t="inlineStr">
        <is>
          <t>Pintura primaria primer epoxi 80um</t>
        </is>
      </c>
      <c r="D12" s="8" t="inlineStr">
        <is>
          <t>m²</t>
        </is>
      </c>
      <c r="E12" s="13" t="n">
        <v>73</v>
      </c>
      <c r="F12" s="13" t="n">
        <v>22</v>
      </c>
      <c r="G12" s="8">
        <f>E12*F12</f>
        <v/>
      </c>
      <c r="H12" s="8" t="inlineStr">
        <is>
          <t>SINAPI</t>
        </is>
      </c>
      <c r="I12" s="8" t="n">
        <v>1</v>
      </c>
      <c r="J12" s="11" t="inlineStr">
        <is>
          <t>idem 1.6</t>
        </is>
      </c>
    </row>
    <row r="13" ht="15" customHeight="1" s="9">
      <c r="A13" s="8" t="inlineStr">
        <is>
          <t>1.8</t>
        </is>
      </c>
      <c r="B13" s="8" t="inlineStr">
        <is>
          <t>73928/4</t>
        </is>
      </c>
      <c r="C13" s="8" t="inlineStr">
        <is>
          <t>Pintura acabamento poliuretano acrilico</t>
        </is>
      </c>
      <c r="D13" s="8" t="inlineStr">
        <is>
          <t>m²</t>
        </is>
      </c>
      <c r="E13" s="13" t="n">
        <v>73</v>
      </c>
      <c r="F13" s="13" t="n">
        <v>26</v>
      </c>
      <c r="G13" s="8">
        <f>E13*F13</f>
        <v/>
      </c>
      <c r="H13" s="8" t="inlineStr">
        <is>
          <t>SINAPI</t>
        </is>
      </c>
      <c r="I13" s="8" t="n">
        <v>1</v>
      </c>
      <c r="J13" s="11" t="inlineStr">
        <is>
          <t>idem 1.6</t>
        </is>
      </c>
    </row>
    <row r="14" ht="15" customHeight="1" s="9">
      <c r="A14" s="8" t="inlineStr">
        <is>
          <t>1.9</t>
        </is>
      </c>
      <c r="B14" s="8" t="inlineStr">
        <is>
          <t>COMP-MTX-06</t>
        </is>
      </c>
      <c r="C14" s="8" t="inlineStr">
        <is>
          <t>Conjunto parafusos estruturais, chumbadores e acessorios</t>
        </is>
      </c>
      <c r="D14" s="8" t="inlineStr">
        <is>
          <t>vb</t>
        </is>
      </c>
      <c r="E14" s="13" t="n">
        <v>1</v>
      </c>
      <c r="F14" s="13" t="n">
        <v>1450</v>
      </c>
      <c r="G14" s="8">
        <f>E14*F14</f>
        <v/>
      </c>
      <c r="H14" s="8" t="inlineStr">
        <is>
          <t>COMP-MTX</t>
        </is>
      </c>
      <c r="I14" s="8" t="n">
        <v>1</v>
      </c>
      <c r="J14" s="11" t="inlineStr">
        <is>
          <t>sem alteracao</t>
        </is>
      </c>
    </row>
    <row r="15" ht="15" customHeight="1" s="9">
      <c r="A15" s="8" t="inlineStr">
        <is>
          <t>1.10</t>
        </is>
      </c>
      <c r="B15" s="8" t="inlineStr">
        <is>
          <t>COMP-MTX-28</t>
        </is>
      </c>
      <c r="C15" s="8" t="inlineStr">
        <is>
          <t>Kit de uniao estrutural da junta: parafusos M12 + gabarito CNC</t>
        </is>
      </c>
      <c r="D15" s="8" t="inlineStr">
        <is>
          <t>vb</t>
        </is>
      </c>
      <c r="E15" s="13" t="n">
        <v>1</v>
      </c>
      <c r="F15" s="13" t="n">
        <v>1100</v>
      </c>
      <c r="G15" s="8">
        <f>E15*F15</f>
        <v/>
      </c>
      <c r="H15" s="8" t="inlineStr">
        <is>
          <t>COMP-MTX</t>
        </is>
      </c>
      <c r="I15" s="8" t="n">
        <v>1</v>
      </c>
      <c r="J15" s="11" t="inlineStr">
        <is>
          <t>junta reduzida a 7,20 m (kit mantido)</t>
        </is>
      </c>
    </row>
    <row r="16" ht="15" customHeight="1" s="9">
      <c r="A16" s="8" t="inlineStr">
        <is>
          <t>1.11</t>
        </is>
      </c>
      <c r="B16" s="8" t="inlineStr">
        <is>
          <t>COMP-MTX-34</t>
        </is>
      </c>
      <c r="C16" s="8" t="inlineStr">
        <is>
          <t>6 bracos duplos de balanco das MARQUISES (portico/lavanderia) + chapas de engaste</t>
        </is>
      </c>
      <c r="D16" s="8" t="inlineStr">
        <is>
          <t>vb</t>
        </is>
      </c>
      <c r="E16" s="13" t="n">
        <v>1</v>
      </c>
      <c r="F16" s="13" t="n">
        <v>520</v>
      </c>
      <c r="G16" s="8">
        <f>E16*F16</f>
        <v/>
      </c>
      <c r="H16" s="8" t="inlineStr">
        <is>
          <t>COMP-MTX</t>
        </is>
      </c>
      <c r="I16" s="8" t="n">
        <v>1</v>
      </c>
      <c r="J16" s="11" t="inlineStr">
        <is>
          <t>SUBSTITUI os 4 pilares + 2 vigas de borda (R$ 460) — recuos livres de pilares</t>
        </is>
      </c>
    </row>
    <row r="17" ht="15" customHeight="1" s="9">
      <c r="A17" s="12" t="inlineStr">
        <is>
          <t>2.0 VEDACAO VERTICAL — EXTERNA PLACA CIMENTICIA + PIR + DRYWALL</t>
        </is>
      </c>
    </row>
    <row r="18" ht="15" customHeight="1" s="9">
      <c r="A18" s="8" t="inlineStr">
        <is>
          <t>2.1</t>
        </is>
      </c>
      <c r="B18" s="8" t="inlineStr">
        <is>
          <t>COMP-MTX-07</t>
        </is>
      </c>
      <c r="C18" s="8" t="inlineStr">
        <is>
          <t>Painel sanduiche PIR 70 mm — paredes externas</t>
        </is>
      </c>
      <c r="D18" s="8" t="inlineStr">
        <is>
          <t>m²</t>
        </is>
      </c>
      <c r="E18" s="13" t="n">
        <v>119.4</v>
      </c>
      <c r="F18" s="13" t="n">
        <v>215</v>
      </c>
      <c r="G18" s="8">
        <f>E18*F18</f>
        <v/>
      </c>
      <c r="H18" s="8" t="inlineStr">
        <is>
          <t>COMP-MTX</t>
        </is>
      </c>
      <c r="I18" s="8" t="n">
        <v>2</v>
      </c>
      <c r="J18" s="11" t="inlineStr">
        <is>
          <t>+15,3 m²: fachadas F5-A/F5-B da defasagem</t>
        </is>
      </c>
    </row>
    <row r="19" ht="15" customHeight="1" s="9">
      <c r="A19" s="8" t="inlineStr">
        <is>
          <t>2.2</t>
        </is>
      </c>
      <c r="B19" s="8" t="inlineStr">
        <is>
          <t>COMP-MTX-08</t>
        </is>
      </c>
      <c r="C19" s="8" t="inlineStr">
        <is>
          <t>Painel sanduiche PIR 70 mm — paredes internas/junta</t>
        </is>
      </c>
      <c r="D19" s="8" t="inlineStr">
        <is>
          <t>m²</t>
        </is>
      </c>
      <c r="E19" s="13" t="n">
        <v>68.3</v>
      </c>
      <c r="F19" s="13" t="n">
        <v>205</v>
      </c>
      <c r="G19" s="8">
        <f>E19*F19</f>
        <v/>
      </c>
      <c r="H19" s="8" t="inlineStr">
        <is>
          <t>COMP-MTX</t>
        </is>
      </c>
      <c r="I19" s="8" t="n">
        <v>2</v>
      </c>
      <c r="J19" s="11" t="inlineStr">
        <is>
          <t>+10,7 m² (ratio 1,175)</t>
        </is>
      </c>
    </row>
    <row r="20" ht="15" customHeight="1" s="9">
      <c r="A20" s="8" t="inlineStr">
        <is>
          <t>2.3</t>
        </is>
      </c>
      <c r="B20" s="8" t="inlineStr">
        <is>
          <t>96358</t>
        </is>
      </c>
      <c r="C20" s="8" t="inlineStr">
        <is>
          <t>Placa cimenticia 8 mm — face externa</t>
        </is>
      </c>
      <c r="D20" s="8" t="inlineStr">
        <is>
          <t>m²</t>
        </is>
      </c>
      <c r="E20" s="13" t="n">
        <v>120.6</v>
      </c>
      <c r="F20" s="13" t="n">
        <v>68</v>
      </c>
      <c r="G20" s="8">
        <f>E20*F20</f>
        <v/>
      </c>
      <c r="H20" s="8" t="inlineStr">
        <is>
          <t>SINAPI</t>
        </is>
      </c>
      <c r="I20" s="8" t="n">
        <v>2</v>
      </c>
      <c r="J20" s="11" t="inlineStr">
        <is>
          <t>idem 2.1</t>
        </is>
      </c>
    </row>
    <row r="21" ht="15" customHeight="1" s="9">
      <c r="A21" s="8" t="inlineStr">
        <is>
          <t>2.4</t>
        </is>
      </c>
      <c r="B21" s="8" t="inlineStr">
        <is>
          <t>96116</t>
        </is>
      </c>
      <c r="C21" s="8" t="inlineStr">
        <is>
          <t>Gesso acartonado ST 12,5 mm — faces internas</t>
        </is>
      </c>
      <c r="D21" s="8" t="inlineStr">
        <is>
          <t>m²</t>
        </is>
      </c>
      <c r="E21" s="13" t="n">
        <v>228</v>
      </c>
      <c r="F21" s="13" t="n">
        <v>48</v>
      </c>
      <c r="G21" s="8">
        <f>E21*F21</f>
        <v/>
      </c>
      <c r="H21" s="8" t="inlineStr">
        <is>
          <t>SINAPI</t>
        </is>
      </c>
      <c r="I21" s="8" t="n">
        <v>2</v>
      </c>
      <c r="J21" s="11" t="inlineStr">
        <is>
          <t>+32,5 m² (ratio 1,159)</t>
        </is>
      </c>
    </row>
    <row r="22" ht="15" customHeight="1" s="9">
      <c r="A22" s="8" t="inlineStr">
        <is>
          <t>2.5</t>
        </is>
      </c>
      <c r="B22" s="8" t="inlineStr">
        <is>
          <t>COMP-MTX-09</t>
        </is>
      </c>
      <c r="C22" s="8" t="inlineStr">
        <is>
          <t>Tratamento elastomerico de juntas externas</t>
        </is>
      </c>
      <c r="D22" s="8" t="inlineStr">
        <is>
          <t>m linear</t>
        </is>
      </c>
      <c r="E22" s="13" t="n">
        <v>164.3</v>
      </c>
      <c r="F22" s="13" t="n">
        <v>28</v>
      </c>
      <c r="G22" s="8">
        <f>E22*F22</f>
        <v/>
      </c>
      <c r="H22" s="8" t="inlineStr">
        <is>
          <t>COMP-MTX</t>
        </is>
      </c>
      <c r="I22" s="8" t="n">
        <v>2</v>
      </c>
      <c r="J22" s="11" t="inlineStr">
        <is>
          <t>proporcional a 2.3</t>
        </is>
      </c>
    </row>
    <row r="23" ht="15" customHeight="1" s="9">
      <c r="A23" s="8" t="inlineStr">
        <is>
          <t>2.6</t>
        </is>
      </c>
      <c r="B23" s="8" t="inlineStr">
        <is>
          <t>96135</t>
        </is>
      </c>
      <c r="C23" s="8" t="inlineStr">
        <is>
          <t>Tratamento drywall de juntas internas</t>
        </is>
      </c>
      <c r="D23" s="8" t="inlineStr">
        <is>
          <t>m linear</t>
        </is>
      </c>
      <c r="E23" s="13" t="n">
        <v>226</v>
      </c>
      <c r="F23" s="13" t="n">
        <v>14</v>
      </c>
      <c r="G23" s="8">
        <f>E23*F23</f>
        <v/>
      </c>
      <c r="H23" s="8" t="inlineStr">
        <is>
          <t>SINAPI</t>
        </is>
      </c>
      <c r="I23" s="8" t="n">
        <v>2</v>
      </c>
      <c r="J23" s="11" t="inlineStr">
        <is>
          <t>proporcional a 2.4</t>
        </is>
      </c>
    </row>
    <row r="24" ht="15" customHeight="1" s="9">
      <c r="A24" s="8" t="inlineStr">
        <is>
          <t>2.7</t>
        </is>
      </c>
      <c r="B24" s="8" t="inlineStr">
        <is>
          <t>COMP-MTX-10</t>
        </is>
      </c>
      <c r="C24" s="8" t="inlineStr">
        <is>
          <t>Cantoneiras PVC para arestas</t>
        </is>
      </c>
      <c r="D24" s="8" t="inlineStr">
        <is>
          <t>m linear</t>
        </is>
      </c>
      <c r="E24" s="13" t="n">
        <v>52</v>
      </c>
      <c r="F24" s="13" t="n">
        <v>14</v>
      </c>
      <c r="G24" s="8">
        <f>E24*F24</f>
        <v/>
      </c>
      <c r="H24" s="8" t="inlineStr">
        <is>
          <t>COMP-MTX</t>
        </is>
      </c>
      <c r="I24" s="8" t="n">
        <v>2</v>
      </c>
      <c r="J24" s="11" t="inlineStr">
        <is>
          <t>+4 m: cantos adicionais da defasagem</t>
        </is>
      </c>
    </row>
    <row r="25" ht="15" customHeight="1" s="9">
      <c r="A25" s="8" t="inlineStr">
        <is>
          <t>2.8</t>
        </is>
      </c>
      <c r="B25" s="8" t="inlineStr">
        <is>
          <t>COMP-MTX-11</t>
        </is>
      </c>
      <c r="C25" s="8" t="inlineStr">
        <is>
          <t>Selagem perimetral painel/estrutura com PU</t>
        </is>
      </c>
      <c r="D25" s="8" t="inlineStr">
        <is>
          <t>m linear</t>
        </is>
      </c>
      <c r="E25" s="13" t="n">
        <v>121.2</v>
      </c>
      <c r="F25" s="13" t="n">
        <v>22</v>
      </c>
      <c r="G25" s="8">
        <f>E25*F25</f>
        <v/>
      </c>
      <c r="H25" s="8" t="inlineStr">
        <is>
          <t>COMP-MTX</t>
        </is>
      </c>
      <c r="I25" s="8" t="n">
        <v>2</v>
      </c>
      <c r="J25" s="11" t="inlineStr">
        <is>
          <t>proporcional a 2.1</t>
        </is>
      </c>
    </row>
    <row r="26" ht="15" customHeight="1" s="9">
      <c r="A26" s="8" t="inlineStr">
        <is>
          <t>2.9</t>
        </is>
      </c>
      <c r="B26" s="8" t="inlineStr">
        <is>
          <t>COMP-MTX-29</t>
        </is>
      </c>
      <c r="C26" s="8" t="inlineStr">
        <is>
          <t>Bandas de fechamento da junta</t>
        </is>
      </c>
      <c r="D26" s="8" t="inlineStr">
        <is>
          <t>vb</t>
        </is>
      </c>
      <c r="E26" s="13" t="n">
        <v>1</v>
      </c>
      <c r="F26" s="13" t="n">
        <v>450</v>
      </c>
      <c r="G26" s="8">
        <f>E26*F26</f>
        <v/>
      </c>
      <c r="H26" s="8" t="inlineStr">
        <is>
          <t>COMP-MTX</t>
        </is>
      </c>
      <c r="I26" s="8" t="n">
        <v>2</v>
      </c>
      <c r="J26" s="11" t="inlineStr">
        <is>
          <t>junta 7,20 m</t>
        </is>
      </c>
    </row>
    <row r="27" ht="15" customHeight="1" s="9">
      <c r="A27" s="8" t="inlineStr">
        <is>
          <t>2.10</t>
        </is>
      </c>
      <c r="B27" s="8" t="inlineStr">
        <is>
          <t>COMP-MTX-35</t>
        </is>
      </c>
      <c r="C27" s="8" t="inlineStr">
        <is>
          <t>Fechamento de base ventilado (soco c/ grelhas)</t>
        </is>
      </c>
      <c r="D27" s="8" t="inlineStr">
        <is>
          <t>m linear</t>
        </is>
      </c>
      <c r="E27" s="13" t="n">
        <v>36</v>
      </c>
      <c r="F27" s="13" t="n">
        <v>48</v>
      </c>
      <c r="G27" s="8">
        <f>E27*F27</f>
        <v/>
      </c>
      <c r="H27" s="8" t="inlineStr">
        <is>
          <t>COMP-MTX</t>
        </is>
      </c>
      <c r="I27" s="8" t="n">
        <v>2</v>
      </c>
      <c r="J27" s="11" t="inlineStr">
        <is>
          <t>+4,2 m: perimetro em L (36,0 m)</t>
        </is>
      </c>
    </row>
    <row r="28" ht="15" customHeight="1" s="9">
      <c r="A28" s="12" t="inlineStr">
        <is>
          <t>3.0 COBERTURA</t>
        </is>
      </c>
    </row>
    <row r="29" ht="15" customHeight="1" s="9">
      <c r="A29" s="8" t="inlineStr">
        <is>
          <t>3.1</t>
        </is>
      </c>
      <c r="B29" s="8" t="inlineStr">
        <is>
          <t>COMP-MTX-12</t>
        </is>
      </c>
      <c r="C29" s="8" t="inlineStr">
        <is>
          <t>Telha sanduiche PIR 30 mm — 2 aguas (cobre modulos + recuos)</t>
        </is>
      </c>
      <c r="D29" s="8" t="inlineStr">
        <is>
          <t>m²</t>
        </is>
      </c>
      <c r="E29" s="13" t="n">
        <v>99.5</v>
      </c>
      <c r="F29" s="13" t="n">
        <v>135</v>
      </c>
      <c r="G29" s="8">
        <f>E29*F29</f>
        <v/>
      </c>
      <c r="H29" s="8" t="inlineStr">
        <is>
          <t>COMP-MTX</t>
        </is>
      </c>
      <c r="I29" s="8" t="n">
        <v>3</v>
      </c>
      <c r="J29" s="11" t="inlineStr">
        <is>
          <t>-1,5 m² (rampa menor, beirais 0,50)</t>
        </is>
      </c>
    </row>
    <row r="30" ht="15" customHeight="1" s="9">
      <c r="A30" s="8" t="inlineStr">
        <is>
          <t>3.2</t>
        </is>
      </c>
      <c r="B30" s="8" t="inlineStr">
        <is>
          <t>94224</t>
        </is>
      </c>
      <c r="C30" s="8" t="inlineStr">
        <is>
          <t>Calha chapa galvanizada 0,65 mm U 200x150</t>
        </is>
      </c>
      <c r="D30" s="8" t="inlineStr">
        <is>
          <t>m linear</t>
        </is>
      </c>
      <c r="E30" s="13" t="n">
        <v>24.8</v>
      </c>
      <c r="F30" s="13" t="n">
        <v>125</v>
      </c>
      <c r="G30" s="8">
        <f>E30*F30</f>
        <v/>
      </c>
      <c r="H30" s="8" t="inlineStr">
        <is>
          <t>SINAPI</t>
        </is>
      </c>
      <c r="I30" s="8" t="n">
        <v>3</v>
      </c>
      <c r="J30" s="11" t="inlineStr">
        <is>
          <t>+4,8 m: bordas de 12,40 m</t>
        </is>
      </c>
    </row>
    <row r="31" ht="15" customHeight="1" s="9">
      <c r="A31" s="8" t="inlineStr">
        <is>
          <t>3.3</t>
        </is>
      </c>
      <c r="B31" s="8" t="inlineStr">
        <is>
          <t>94228</t>
        </is>
      </c>
      <c r="C31" s="8" t="inlineStr">
        <is>
          <t>Impermeabilizacao interna de calha</t>
        </is>
      </c>
      <c r="D31" s="8" t="inlineStr">
        <is>
          <t>m²</t>
        </is>
      </c>
      <c r="E31" s="13" t="n">
        <v>6</v>
      </c>
      <c r="F31" s="13" t="n">
        <v>85</v>
      </c>
      <c r="G31" s="8">
        <f>E31*F31</f>
        <v/>
      </c>
      <c r="H31" s="8" t="inlineStr">
        <is>
          <t>SINAPI</t>
        </is>
      </c>
      <c r="I31" s="8" t="n">
        <v>3</v>
      </c>
      <c r="J31" s="11" t="inlineStr">
        <is>
          <t>proporcional a 3.2</t>
        </is>
      </c>
    </row>
    <row r="32" ht="15" customHeight="1" s="9">
      <c r="A32" s="8" t="inlineStr">
        <is>
          <t>3.4</t>
        </is>
      </c>
      <c r="B32" s="8" t="inlineStr">
        <is>
          <t>94232</t>
        </is>
      </c>
      <c r="C32" s="8" t="inlineStr">
        <is>
          <t>Rufo chapa galvanizada 0,65 mm c/ pingadeira</t>
        </is>
      </c>
      <c r="D32" s="8" t="inlineStr">
        <is>
          <t>m linear</t>
        </is>
      </c>
      <c r="E32" s="13" t="n">
        <v>44.2</v>
      </c>
      <c r="F32" s="13" t="n">
        <v>58</v>
      </c>
      <c r="G32" s="8">
        <f>E32*F32</f>
        <v/>
      </c>
      <c r="H32" s="8" t="inlineStr">
        <is>
          <t>SINAPI</t>
        </is>
      </c>
      <c r="I32" s="8" t="n">
        <v>3</v>
      </c>
      <c r="J32" s="11" t="inlineStr">
        <is>
          <t>+3,8 m: rufos dos bordos altos defasados (2x2,10)</t>
        </is>
      </c>
    </row>
    <row r="33" ht="15" customHeight="1" s="9">
      <c r="A33" s="8" t="inlineStr">
        <is>
          <t>3.5</t>
        </is>
      </c>
      <c r="B33" s="8" t="inlineStr">
        <is>
          <t>89712</t>
        </is>
      </c>
      <c r="C33" s="8" t="inlineStr">
        <is>
          <t>Tubo de queda PVC 75 mm pintado</t>
        </is>
      </c>
      <c r="D33" s="8" t="inlineStr">
        <is>
          <t>m linear</t>
        </is>
      </c>
      <c r="E33" s="13" t="n">
        <v>7.2</v>
      </c>
      <c r="F33" s="13" t="n">
        <v>36</v>
      </c>
      <c r="G33" s="8">
        <f>E33*F33</f>
        <v/>
      </c>
      <c r="H33" s="8" t="inlineStr">
        <is>
          <t>SINAPI</t>
        </is>
      </c>
      <c r="I33" s="8" t="n">
        <v>3</v>
      </c>
      <c r="J33" s="11" t="inlineStr">
        <is>
          <t>2 tubos h=3,56 m</t>
        </is>
      </c>
    </row>
    <row r="34" ht="15" customHeight="1" s="9">
      <c r="A34" s="8" t="inlineStr">
        <is>
          <t>3.6</t>
        </is>
      </c>
      <c r="B34" s="8" t="inlineStr">
        <is>
          <t>COMP-MTX-13</t>
        </is>
      </c>
      <c r="C34" s="8" t="inlineStr">
        <is>
          <t>Parafusos autobrocantes c/ arruela neoprene</t>
        </is>
      </c>
      <c r="D34" s="8" t="inlineStr">
        <is>
          <t>vb</t>
        </is>
      </c>
      <c r="E34" s="13" t="n">
        <v>1</v>
      </c>
      <c r="F34" s="13" t="n">
        <v>320</v>
      </c>
      <c r="G34" s="8">
        <f>E34*F34</f>
        <v/>
      </c>
      <c r="H34" s="8" t="inlineStr">
        <is>
          <t>COMP-MTX</t>
        </is>
      </c>
      <c r="I34" s="8" t="n">
        <v>3</v>
      </c>
      <c r="J34" s="11" t="inlineStr">
        <is>
          <t>sem alteracao</t>
        </is>
      </c>
    </row>
    <row r="35" ht="15" customHeight="1" s="9">
      <c r="A35" s="8" t="inlineStr">
        <is>
          <t>3.7</t>
        </is>
      </c>
      <c r="B35" s="8" t="inlineStr">
        <is>
          <t>COMP-MTX-14</t>
        </is>
      </c>
      <c r="C35" s="8" t="inlineStr">
        <is>
          <t>Mao de obra de cobertura/calhas/rufos</t>
        </is>
      </c>
      <c r="D35" s="8" t="inlineStr">
        <is>
          <t>h-h</t>
        </is>
      </c>
      <c r="E35" s="13" t="n">
        <v>34</v>
      </c>
      <c r="F35" s="13" t="n">
        <v>42</v>
      </c>
      <c r="G35" s="8">
        <f>E35*F35</f>
        <v/>
      </c>
      <c r="H35" s="8" t="inlineStr">
        <is>
          <t>COMP-MTX</t>
        </is>
      </c>
      <c r="I35" s="8" t="n">
        <v>3</v>
      </c>
      <c r="J35" s="11" t="inlineStr">
        <is>
          <t>+2 h-h (rufos defasados)</t>
        </is>
      </c>
    </row>
    <row r="36" ht="15" customHeight="1" s="9">
      <c r="A36" s="8" t="inlineStr">
        <is>
          <t>3.8</t>
        </is>
      </c>
      <c r="B36" s="8" t="inlineStr">
        <is>
          <t>COMP-MTX-30</t>
        </is>
      </c>
      <c r="C36" s="8" t="inlineStr">
        <is>
          <t>Capuz de cumeeira sobre a junta + fitas (CAMPO)</t>
        </is>
      </c>
      <c r="D36" s="8" t="inlineStr">
        <is>
          <t>vb</t>
        </is>
      </c>
      <c r="E36" s="13" t="n">
        <v>1</v>
      </c>
      <c r="F36" s="13" t="n">
        <v>540</v>
      </c>
      <c r="G36" s="8">
        <f>E36*F36</f>
        <v/>
      </c>
      <c r="H36" s="8" t="inlineStr">
        <is>
          <t>COMP-MTX</t>
        </is>
      </c>
      <c r="I36" s="8" t="n">
        <v>3</v>
      </c>
      <c r="J36" s="11" t="inlineStr">
        <is>
          <t>-R$160: capuz reduzido a 7,20 m (era 9,30)</t>
        </is>
      </c>
    </row>
    <row r="37" ht="15" customHeight="1" s="9">
      <c r="A37" s="8" t="inlineStr">
        <is>
          <t>3.9</t>
        </is>
      </c>
      <c r="B37" s="8" t="inlineStr">
        <is>
          <t>COMP-MTX-33</t>
        </is>
      </c>
      <c r="C37" s="8" t="inlineStr">
        <is>
          <t>Testeira do beiral h=0,89 m pintada FENDI</t>
        </is>
      </c>
      <c r="D37" s="8" t="inlineStr">
        <is>
          <t>m linear</t>
        </is>
      </c>
      <c r="E37" s="13" t="n">
        <v>40</v>
      </c>
      <c r="F37" s="13" t="n">
        <v>95</v>
      </c>
      <c r="G37" s="8">
        <f>E37*F37</f>
        <v/>
      </c>
      <c r="H37" s="8" t="inlineStr">
        <is>
          <t>COMP-MTX</t>
        </is>
      </c>
      <c r="I37" s="8" t="n">
        <v>3</v>
      </c>
      <c r="J37" s="11" t="inlineStr">
        <is>
          <t>perimetro retangular 12,40x7,60</t>
        </is>
      </c>
    </row>
    <row r="38" ht="15" customHeight="1" s="9">
      <c r="A38" s="8" t="inlineStr">
        <is>
          <t>3.10</t>
        </is>
      </c>
      <c r="B38" s="8" t="inlineStr">
        <is>
          <t>COMP-MTX-36</t>
        </is>
      </c>
      <c r="C38" s="8" t="inlineStr">
        <is>
          <t>Forro de beiral (soffit) chapa lisa</t>
        </is>
      </c>
      <c r="D38" s="8" t="inlineStr">
        <is>
          <t>m2</t>
        </is>
      </c>
      <c r="E38" s="13" t="n">
        <v>32.9</v>
      </c>
      <c r="F38" s="13" t="n">
        <v>55</v>
      </c>
      <c r="G38" s="8">
        <f>E38*F38</f>
        <v/>
      </c>
      <c r="H38" s="8" t="inlineStr">
        <is>
          <t>COMP-MTX</t>
        </is>
      </c>
      <c r="I38" s="8" t="n">
        <v>3</v>
      </c>
      <c r="J38" s="11" t="inlineStr">
        <is>
          <t>-6,7 m²: beirais 0,50 m + recuos (sem balanco 1,60)</t>
        </is>
      </c>
    </row>
    <row r="39" ht="15" customHeight="1" s="9">
      <c r="A39" s="12" t="inlineStr">
        <is>
          <t>4.0 ESQUADRIAS</t>
        </is>
      </c>
    </row>
    <row r="40" ht="15" customHeight="1" s="9">
      <c r="A40" s="8" t="inlineStr">
        <is>
          <t>4.1</t>
        </is>
      </c>
      <c r="B40" s="8" t="inlineStr">
        <is>
          <t>94569</t>
        </is>
      </c>
      <c r="C40" s="8" t="inlineStr">
        <is>
          <t>Janela aluminio branco correr 2 folhas 1,20x1,00 (J01 sala)</t>
        </is>
      </c>
      <c r="D40" s="8" t="inlineStr">
        <is>
          <t>un</t>
        </is>
      </c>
      <c r="E40" s="13" t="n">
        <v>1</v>
      </c>
      <c r="F40" s="13" t="n">
        <v>685</v>
      </c>
      <c r="G40" s="8">
        <f>E40*F40</f>
        <v/>
      </c>
      <c r="H40" s="8" t="inlineStr">
        <is>
          <t>SINAPI</t>
        </is>
      </c>
      <c r="I40" s="8" t="n">
        <v>4</v>
      </c>
      <c r="J40" s="11" t="inlineStr">
        <is>
          <t>sem alteracao</t>
        </is>
      </c>
    </row>
    <row r="41" ht="15" customHeight="1" s="9">
      <c r="A41" s="8" t="inlineStr">
        <is>
          <t>4.2</t>
        </is>
      </c>
      <c r="B41" s="8" t="inlineStr">
        <is>
          <t>94570</t>
        </is>
      </c>
      <c r="C41" s="8" t="inlineStr">
        <is>
          <t>Janela aluminio correr 2 folhas 1,00x1,00 (J05 cozinha + J07 sala lateral)</t>
        </is>
      </c>
      <c r="D41" s="8" t="inlineStr">
        <is>
          <t>un</t>
        </is>
      </c>
      <c r="E41" s="13" t="n">
        <v>2</v>
      </c>
      <c r="F41" s="13" t="n">
        <v>545</v>
      </c>
      <c r="G41" s="8">
        <f>E41*F41</f>
        <v/>
      </c>
      <c r="H41" s="8" t="inlineStr">
        <is>
          <t>SINAPI</t>
        </is>
      </c>
      <c r="I41" s="8" t="n">
        <v>4</v>
      </c>
      <c r="J41" s="11" t="inlineStr">
        <is>
          <t>+1 un: J07 na lateral da sala (planta anotada)</t>
        </is>
      </c>
    </row>
    <row r="42" ht="15" customHeight="1" s="9">
      <c r="A42" s="8" t="inlineStr">
        <is>
          <t>4.3</t>
        </is>
      </c>
      <c r="B42" s="8" t="inlineStr">
        <is>
          <t>94571</t>
        </is>
      </c>
      <c r="C42" s="8" t="inlineStr">
        <is>
          <t>Janela aluminio basculante 0,60x0,40 (J06 banheiro)</t>
        </is>
      </c>
      <c r="D42" s="8" t="inlineStr">
        <is>
          <t>un</t>
        </is>
      </c>
      <c r="E42" s="13" t="n">
        <v>1</v>
      </c>
      <c r="F42" s="13" t="n">
        <v>285</v>
      </c>
      <c r="G42" s="8">
        <f>E42*F42</f>
        <v/>
      </c>
      <c r="H42" s="8" t="inlineStr">
        <is>
          <t>SINAPI</t>
        </is>
      </c>
      <c r="I42" s="8" t="n">
        <v>4</v>
      </c>
      <c r="J42" s="11" t="inlineStr">
        <is>
          <t>sem alteracao</t>
        </is>
      </c>
    </row>
    <row r="43" ht="15" customHeight="1" s="9">
      <c r="A43" s="8" t="inlineStr">
        <is>
          <t>4.4</t>
        </is>
      </c>
      <c r="B43" s="8" t="inlineStr">
        <is>
          <t>94559</t>
        </is>
      </c>
      <c r="C43" s="8" t="inlineStr">
        <is>
          <t>Porta entrada aluminio 0,90x2,10 c/ visor (P01 - portico)</t>
        </is>
      </c>
      <c r="D43" s="8" t="inlineStr">
        <is>
          <t>un</t>
        </is>
      </c>
      <c r="E43" s="13" t="n">
        <v>1</v>
      </c>
      <c r="F43" s="13" t="n">
        <v>1480</v>
      </c>
      <c r="G43" s="8">
        <f>E43*F43</f>
        <v/>
      </c>
      <c r="H43" s="8" t="inlineStr">
        <is>
          <t>SINAPI</t>
        </is>
      </c>
      <c r="I43" s="8" t="n">
        <v>4</v>
      </c>
      <c r="J43" s="11" t="inlineStr">
        <is>
          <t>entrada relocada p/ F4-A (portico)</t>
        </is>
      </c>
    </row>
    <row r="44" ht="15" customHeight="1" s="9">
      <c r="A44" s="8" t="inlineStr">
        <is>
          <t>4.5</t>
        </is>
      </c>
      <c r="B44" s="8" t="inlineStr">
        <is>
          <t>94556</t>
        </is>
      </c>
      <c r="C44" s="8" t="inlineStr">
        <is>
          <t>Porta servico aluminio 0,80x2,10 c/ veneziana (P02 cozinha-&gt;lavanderia)</t>
        </is>
      </c>
      <c r="D44" s="8" t="inlineStr">
        <is>
          <t>un</t>
        </is>
      </c>
      <c r="E44" s="13" t="n">
        <v>1</v>
      </c>
      <c r="F44" s="13" t="n">
        <v>1180</v>
      </c>
      <c r="G44" s="8">
        <f>E44*F44</f>
        <v/>
      </c>
      <c r="H44" s="8" t="inlineStr">
        <is>
          <t>SINAPI</t>
        </is>
      </c>
      <c r="I44" s="8" t="n">
        <v>4</v>
      </c>
      <c r="J44" s="11" t="inlineStr">
        <is>
          <t>relocada p/ F5-A</t>
        </is>
      </c>
    </row>
    <row r="45" ht="15" customHeight="1" s="9">
      <c r="A45" s="8" t="inlineStr">
        <is>
          <t>4.6</t>
        </is>
      </c>
      <c r="B45" s="8" t="inlineStr">
        <is>
          <t>91339</t>
        </is>
      </c>
      <c r="C45" s="8" t="inlineStr">
        <is>
          <t>Porta interna semi-oca MDF melaminico 0,70-0,80x2,10</t>
        </is>
      </c>
      <c r="D45" s="8" t="inlineStr">
        <is>
          <t>un</t>
        </is>
      </c>
      <c r="E45" s="13" t="n">
        <v>4</v>
      </c>
      <c r="F45" s="13" t="n">
        <v>485</v>
      </c>
      <c r="G45" s="8">
        <f>E45*F45</f>
        <v/>
      </c>
      <c r="H45" s="8" t="inlineStr">
        <is>
          <t>SINAPI</t>
        </is>
      </c>
      <c r="I45" s="8" t="n">
        <v>4</v>
      </c>
      <c r="J45" s="11" t="inlineStr">
        <is>
          <t>PI1-PI4; P03 externa da cozinha ELIMINADA (-R$1.250)</t>
        </is>
      </c>
    </row>
    <row r="46" ht="15" customHeight="1" s="9">
      <c r="A46" s="8" t="inlineStr">
        <is>
          <t>4.7</t>
        </is>
      </c>
      <c r="B46" s="8" t="inlineStr">
        <is>
          <t>COMP-MTX-15</t>
        </is>
      </c>
      <c r="C46" s="8" t="inlineStr">
        <is>
          <t>Vedacao perimetral das esquadrias c/ selante</t>
        </is>
      </c>
      <c r="D46" s="8" t="inlineStr">
        <is>
          <t>m linear</t>
        </is>
      </c>
      <c r="E46" s="13" t="n">
        <v>44</v>
      </c>
      <c r="F46" s="13" t="n">
        <v>18</v>
      </c>
      <c r="G46" s="8">
        <f>E46*F46</f>
        <v/>
      </c>
      <c r="H46" s="8" t="inlineStr">
        <is>
          <t>COMP-MTX</t>
        </is>
      </c>
      <c r="I46" s="8" t="n">
        <v>4</v>
      </c>
      <c r="J46" s="11" t="inlineStr">
        <is>
          <t>-4 m (1 porta a menos)</t>
        </is>
      </c>
    </row>
    <row r="47" ht="15" customHeight="1" s="9">
      <c r="A47" s="8" t="inlineStr">
        <is>
          <t>4.8</t>
        </is>
      </c>
      <c r="B47" s="8" t="inlineStr">
        <is>
          <t>COMP-MTX-38</t>
        </is>
      </c>
      <c r="C47" s="8" t="inlineStr">
        <is>
          <t>Janela aluminio 1,00x1,00 c/ VENEZIANA integrada de enrolar (J02/J03/J04 quartos - exigencia MCMV escurecimento)</t>
        </is>
      </c>
      <c r="D47" s="8" t="inlineStr">
        <is>
          <t>un</t>
        </is>
      </c>
      <c r="E47" s="13" t="n">
        <v>3</v>
      </c>
      <c r="F47" s="13" t="n">
        <v>745</v>
      </c>
      <c r="G47" s="8">
        <f>E47*F47</f>
        <v/>
      </c>
      <c r="H47" s="8" t="inlineStr">
        <is>
          <t>COMP-MTX</t>
        </is>
      </c>
      <c r="I47" s="8" t="n">
        <v>4</v>
      </c>
      <c r="J47" s="11" t="inlineStr">
        <is>
          <t>NOVO: atende Portaria 725/2023 (achado A-05)</t>
        </is>
      </c>
    </row>
    <row r="48" ht="15" customHeight="1" s="9">
      <c r="A48" s="12" t="inlineStr">
        <is>
          <t>5.0 REVESTIMENTOS</t>
        </is>
      </c>
    </row>
    <row r="49" ht="15" customHeight="1" s="9">
      <c r="A49" s="8" t="inlineStr">
        <is>
          <t>5.1</t>
        </is>
      </c>
      <c r="B49" s="8" t="inlineStr">
        <is>
          <t>87263</t>
        </is>
      </c>
      <c r="C49" s="8" t="inlineStr">
        <is>
          <t>Ceramica esmaltada 32x45 branco — box/banheiro</t>
        </is>
      </c>
      <c r="D49" s="8" t="inlineStr">
        <is>
          <t>m²</t>
        </is>
      </c>
      <c r="E49" s="13" t="n">
        <v>18</v>
      </c>
      <c r="F49" s="13" t="n">
        <v>95</v>
      </c>
      <c r="G49" s="8">
        <f>E49*F49</f>
        <v/>
      </c>
      <c r="H49" s="8" t="inlineStr">
        <is>
          <t>SINAPI</t>
        </is>
      </c>
      <c r="I49" s="8" t="n">
        <v>5</v>
      </c>
      <c r="J49" s="11" t="inlineStr">
        <is>
          <t>sem alteracao</t>
        </is>
      </c>
    </row>
    <row r="50" ht="15" customHeight="1" s="9">
      <c r="A50" s="8" t="inlineStr">
        <is>
          <t>5.2</t>
        </is>
      </c>
      <c r="B50" s="8" t="inlineStr">
        <is>
          <t>87263</t>
        </is>
      </c>
      <c r="C50" s="8" t="inlineStr">
        <is>
          <t>Ceramica 20x30 — testada da lavanderia (azulejo tanque)</t>
        </is>
      </c>
      <c r="D50" s="8" t="inlineStr">
        <is>
          <t>m²</t>
        </is>
      </c>
      <c r="E50" s="13" t="n">
        <v>4.3</v>
      </c>
      <c r="F50" s="13" t="n">
        <v>88</v>
      </c>
      <c r="G50" s="8">
        <f>E50*F50</f>
        <v/>
      </c>
      <c r="H50" s="8" t="inlineStr">
        <is>
          <t>SINAPI</t>
        </is>
      </c>
      <c r="I50" s="8" t="n">
        <v>5</v>
      </c>
      <c r="J50" s="11" t="inlineStr">
        <is>
          <t>-1,3 m² (faixa 1,00 m no recuo)</t>
        </is>
      </c>
    </row>
    <row r="51" ht="15" customHeight="1" s="9">
      <c r="A51" s="8" t="inlineStr">
        <is>
          <t>5.3</t>
        </is>
      </c>
      <c r="B51" s="8" t="inlineStr">
        <is>
          <t>96111</t>
        </is>
      </c>
      <c r="C51" s="8" t="inlineStr">
        <is>
          <t>Massa corrida PVA — paredes internas</t>
        </is>
      </c>
      <c r="D51" s="8" t="inlineStr">
        <is>
          <t>m²</t>
        </is>
      </c>
      <c r="E51" s="13" t="n">
        <v>274.5</v>
      </c>
      <c r="F51" s="13" t="n">
        <v>18.5</v>
      </c>
      <c r="G51" s="8">
        <f>E51*F51</f>
        <v/>
      </c>
      <c r="H51" s="8" t="inlineStr">
        <is>
          <t>SINAPI</t>
        </is>
      </c>
      <c r="I51" s="8" t="n">
        <v>5</v>
      </c>
      <c r="J51" s="11" t="inlineStr">
        <is>
          <t>proporcional ao drywall (2.4)</t>
        </is>
      </c>
    </row>
    <row r="52" ht="15" customHeight="1" s="9">
      <c r="A52" s="8" t="inlineStr">
        <is>
          <t>5.4</t>
        </is>
      </c>
      <c r="B52" s="8" t="inlineStr">
        <is>
          <t>COMP-MTX-16</t>
        </is>
      </c>
      <c r="C52" s="8" t="inlineStr">
        <is>
          <t>Massa acrilica elastomerica — externas</t>
        </is>
      </c>
      <c r="D52" s="8" t="inlineStr">
        <is>
          <t>m²</t>
        </is>
      </c>
      <c r="E52" s="13" t="n">
        <v>130.3</v>
      </c>
      <c r="F52" s="13" t="n">
        <v>24</v>
      </c>
      <c r="G52" s="8">
        <f>E52*F52</f>
        <v/>
      </c>
      <c r="H52" s="8" t="inlineStr">
        <is>
          <t>COMP-MTX</t>
        </is>
      </c>
      <c r="I52" s="8" t="n">
        <v>5</v>
      </c>
      <c r="J52" s="11" t="inlineStr">
        <is>
          <t>idem 2.3</t>
        </is>
      </c>
    </row>
    <row r="53" ht="15" customHeight="1" s="9">
      <c r="A53" s="12" t="inlineStr">
        <is>
          <t>6.0 PISOS</t>
        </is>
      </c>
    </row>
    <row r="54" ht="15" customHeight="1" s="9">
      <c r="A54" s="8" t="inlineStr">
        <is>
          <t>6.3</t>
        </is>
      </c>
      <c r="B54" s="8" t="inlineStr">
        <is>
          <t>100644</t>
        </is>
      </c>
      <c r="C54" s="8" t="inlineStr">
        <is>
          <t>Piso vinilico manta 2 mm padrao madeira</t>
        </is>
      </c>
      <c r="D54" s="8" t="inlineStr">
        <is>
          <t>m²</t>
        </is>
      </c>
      <c r="E54" s="13" t="n">
        <v>44.3</v>
      </c>
      <c r="F54" s="13" t="n">
        <v>72</v>
      </c>
      <c r="G54" s="8">
        <f>E54*F54</f>
        <v/>
      </c>
      <c r="H54" s="8" t="inlineStr">
        <is>
          <t>SINAPI</t>
        </is>
      </c>
      <c r="I54" s="8" t="n">
        <v>6</v>
      </c>
      <c r="J54" s="11" t="inlineStr">
        <is>
          <t>sala+3 quartos+corredor do modelo R5</t>
        </is>
      </c>
    </row>
    <row r="55" ht="15" customHeight="1" s="9">
      <c r="A55" s="8" t="inlineStr">
        <is>
          <t>6.4</t>
        </is>
      </c>
      <c r="B55" s="8" t="inlineStr">
        <is>
          <t>87246</t>
        </is>
      </c>
      <c r="C55" s="8" t="inlineStr">
        <is>
          <t>Piso ceramico antiderrapante PEI4 (cozinha+banheiro+recuos cobertos)</t>
        </is>
      </c>
      <c r="D55" s="8" t="inlineStr">
        <is>
          <t>m²</t>
        </is>
      </c>
      <c r="E55" s="13" t="n">
        <v>23.8</v>
      </c>
      <c r="F55" s="13" t="n">
        <v>112</v>
      </c>
      <c r="G55" s="8">
        <f>E55*F55</f>
        <v/>
      </c>
      <c r="H55" s="8" t="inlineStr">
        <is>
          <t>SINAPI</t>
        </is>
      </c>
      <c r="I55" s="8" t="n">
        <v>6</v>
      </c>
      <c r="J55" s="11" t="inlineStr">
        <is>
          <t>+15,1 m²: inclui portico e lavanderia (6,93 m² cada)</t>
        </is>
      </c>
    </row>
    <row r="56" ht="15" customHeight="1" s="9">
      <c r="A56" s="8" t="inlineStr">
        <is>
          <t>6.5</t>
        </is>
      </c>
      <c r="B56" s="8" t="inlineStr">
        <is>
          <t>98664</t>
        </is>
      </c>
      <c r="C56" s="8" t="inlineStr">
        <is>
          <t>Rodape poliestireno branco 7 cm</t>
        </is>
      </c>
      <c r="D56" s="8" t="inlineStr">
        <is>
          <t>m linear</t>
        </is>
      </c>
      <c r="E56" s="13" t="n">
        <v>56</v>
      </c>
      <c r="F56" s="13" t="n">
        <v>22</v>
      </c>
      <c r="G56" s="8">
        <f>E56*F56</f>
        <v/>
      </c>
      <c r="H56" s="8" t="inlineStr">
        <is>
          <t>SINAPI</t>
        </is>
      </c>
      <c r="I56" s="8" t="n">
        <v>6</v>
      </c>
      <c r="J56" s="11" t="inlineStr">
        <is>
          <t>perimetros R5 (- vaos de porta)</t>
        </is>
      </c>
    </row>
    <row r="57" ht="15" customHeight="1" s="9">
      <c r="A57" s="12" t="inlineStr">
        <is>
          <t>7.0 INSTALACOES HIDRAULICAS</t>
        </is>
      </c>
    </row>
    <row r="58" ht="15" customHeight="1" s="9">
      <c r="A58" s="8" t="inlineStr">
        <is>
          <t>7.1</t>
        </is>
      </c>
      <c r="B58" s="8" t="inlineStr">
        <is>
          <t>89712</t>
        </is>
      </c>
      <c r="C58" s="8" t="inlineStr">
        <is>
          <t>Tubo PVC soldavel DN25 agua fria</t>
        </is>
      </c>
      <c r="D58" s="8" t="inlineStr">
        <is>
          <t>m</t>
        </is>
      </c>
      <c r="E58" s="13" t="n">
        <v>53.3</v>
      </c>
      <c r="F58" s="13" t="n">
        <v>22.5</v>
      </c>
      <c r="G58" s="8">
        <f>E58*F58</f>
        <v/>
      </c>
      <c r="H58" s="8" t="inlineStr">
        <is>
          <t>SINAPI</t>
        </is>
      </c>
      <c r="I58" s="8" t="n">
        <v>7</v>
      </c>
      <c r="J58" s="11" t="inlineStr">
        <is>
          <t>cluster esquerdo (cozinha+banheiro+lavanderia juntos) - modelo R8</t>
        </is>
      </c>
    </row>
    <row r="59" ht="15" customHeight="1" s="9">
      <c r="A59" s="8" t="inlineStr">
        <is>
          <t>7.2</t>
        </is>
      </c>
      <c r="B59" s="8" t="inlineStr">
        <is>
          <t>89714</t>
        </is>
      </c>
      <c r="C59" s="8" t="inlineStr">
        <is>
          <t>Tubo PVC soldavel DN32 alimentador</t>
        </is>
      </c>
      <c r="D59" s="8" t="inlineStr">
        <is>
          <t>m</t>
        </is>
      </c>
      <c r="E59" s="13" t="n">
        <v>12</v>
      </c>
      <c r="F59" s="13" t="n">
        <v>32</v>
      </c>
      <c r="G59" s="8">
        <f>E59*F59</f>
        <v/>
      </c>
      <c r="H59" s="8" t="inlineStr">
        <is>
          <t>SINAPI</t>
        </is>
      </c>
      <c r="I59" s="8" t="n">
        <v>7</v>
      </c>
      <c r="J59" s="11" t="inlineStr">
        <is>
          <t>sem alteracao</t>
        </is>
      </c>
    </row>
    <row r="60" ht="15" customHeight="1" s="9">
      <c r="A60" s="8" t="inlineStr">
        <is>
          <t>7.3</t>
        </is>
      </c>
      <c r="B60" s="8" t="inlineStr">
        <is>
          <t>89795</t>
        </is>
      </c>
      <c r="C60" s="8" t="inlineStr">
        <is>
          <t>Tubo PVC esgoto DN100 (vaso/prumada)</t>
        </is>
      </c>
      <c r="D60" s="8" t="inlineStr">
        <is>
          <t>m</t>
        </is>
      </c>
      <c r="E60" s="13" t="n">
        <v>8</v>
      </c>
      <c r="F60" s="13" t="n">
        <v>48</v>
      </c>
      <c r="G60" s="8">
        <f>E60*F60</f>
        <v/>
      </c>
      <c r="H60" s="8" t="inlineStr">
        <is>
          <t>SINAPI</t>
        </is>
      </c>
      <c r="I60" s="8" t="n">
        <v>7</v>
      </c>
      <c r="J60" s="11" t="inlineStr">
        <is>
          <t>sem alteracao</t>
        </is>
      </c>
    </row>
    <row r="61" ht="15" customHeight="1" s="9">
      <c r="A61" s="8" t="inlineStr">
        <is>
          <t>7.4</t>
        </is>
      </c>
      <c r="B61" s="8" t="inlineStr">
        <is>
          <t>89796</t>
        </is>
      </c>
      <c r="C61" s="8" t="inlineStr">
        <is>
          <t>Tubo PVC esgoto DN50</t>
        </is>
      </c>
      <c r="D61" s="8" t="inlineStr">
        <is>
          <t>m</t>
        </is>
      </c>
      <c r="E61" s="13" t="n">
        <v>13.7</v>
      </c>
      <c r="F61" s="13" t="n">
        <v>32</v>
      </c>
      <c r="G61" s="8">
        <f>E61*F61</f>
        <v/>
      </c>
      <c r="H61" s="8" t="inlineStr">
        <is>
          <t>SINAPI</t>
        </is>
      </c>
      <c r="I61" s="8" t="n">
        <v>7</v>
      </c>
      <c r="J61" s="11" t="inlineStr">
        <is>
          <t>+1,7 m (ratio esgoto 1,14)</t>
        </is>
      </c>
    </row>
    <row r="62" ht="15" customHeight="1" s="9">
      <c r="A62" s="8" t="inlineStr">
        <is>
          <t>7.5</t>
        </is>
      </c>
      <c r="B62" s="8" t="inlineStr">
        <is>
          <t>89797</t>
        </is>
      </c>
      <c r="C62" s="8" t="inlineStr">
        <is>
          <t>Tubo PVC esgoto DN40</t>
        </is>
      </c>
      <c r="D62" s="8" t="inlineStr">
        <is>
          <t>m</t>
        </is>
      </c>
      <c r="E62" s="13" t="n">
        <v>11.4</v>
      </c>
      <c r="F62" s="13" t="n">
        <v>24</v>
      </c>
      <c r="G62" s="8">
        <f>E62*F62</f>
        <v/>
      </c>
      <c r="H62" s="8" t="inlineStr">
        <is>
          <t>SINAPI</t>
        </is>
      </c>
      <c r="I62" s="8" t="n">
        <v>7</v>
      </c>
      <c r="J62" s="11" t="inlineStr">
        <is>
          <t>idem 7.4</t>
        </is>
      </c>
    </row>
    <row r="63" ht="15" customHeight="1" s="9">
      <c r="A63" s="8" t="inlineStr">
        <is>
          <t>7.6</t>
        </is>
      </c>
      <c r="B63" s="8" t="inlineStr">
        <is>
          <t>89595</t>
        </is>
      </c>
      <c r="C63" s="8" t="inlineStr">
        <is>
          <t>Caixa sifonada PVC 100x150x50</t>
        </is>
      </c>
      <c r="D63" s="8" t="inlineStr">
        <is>
          <t>un</t>
        </is>
      </c>
      <c r="E63" s="13" t="n">
        <v>3</v>
      </c>
      <c r="F63" s="13" t="n">
        <v>65</v>
      </c>
      <c r="G63" s="8">
        <f>E63*F63</f>
        <v/>
      </c>
      <c r="H63" s="8" t="inlineStr">
        <is>
          <t>SINAPI</t>
        </is>
      </c>
      <c r="I63" s="8" t="n">
        <v>7</v>
      </c>
      <c r="J63" s="11" t="inlineStr">
        <is>
          <t>sem alteracao</t>
        </is>
      </c>
    </row>
    <row r="64" ht="15" customHeight="1" s="9">
      <c r="A64" s="8" t="inlineStr">
        <is>
          <t>7.7</t>
        </is>
      </c>
      <c r="B64" s="8" t="inlineStr">
        <is>
          <t>89989</t>
        </is>
      </c>
      <c r="C64" s="8" t="inlineStr">
        <is>
          <t>Registro gaveta bruto DN32 geral</t>
        </is>
      </c>
      <c r="D64" s="8" t="inlineStr">
        <is>
          <t>un</t>
        </is>
      </c>
      <c r="E64" s="13" t="n">
        <v>1</v>
      </c>
      <c r="F64" s="13" t="n">
        <v>95</v>
      </c>
      <c r="G64" s="8">
        <f>E64*F64</f>
        <v/>
      </c>
      <c r="H64" s="8" t="inlineStr">
        <is>
          <t>SINAPI</t>
        </is>
      </c>
      <c r="I64" s="8" t="n">
        <v>7</v>
      </c>
      <c r="J64" s="11" t="inlineStr">
        <is>
          <t>relocado p/ F3-A (junto a prumada unica)</t>
        </is>
      </c>
    </row>
    <row r="65" ht="15" customHeight="1" s="9">
      <c r="A65" s="8" t="inlineStr">
        <is>
          <t>7.8</t>
        </is>
      </c>
      <c r="B65" s="8" t="inlineStr">
        <is>
          <t>89986</t>
        </is>
      </c>
      <c r="C65" s="8" t="inlineStr">
        <is>
          <t>Registro pressao chuveiro c/ canopla</t>
        </is>
      </c>
      <c r="D65" s="8" t="inlineStr">
        <is>
          <t>un</t>
        </is>
      </c>
      <c r="E65" s="13" t="n">
        <v>1</v>
      </c>
      <c r="F65" s="13" t="n">
        <v>115</v>
      </c>
      <c r="G65" s="8">
        <f>E65*F65</f>
        <v/>
      </c>
      <c r="H65" s="8" t="inlineStr">
        <is>
          <t>SINAPI</t>
        </is>
      </c>
      <c r="I65" s="8" t="n">
        <v>7</v>
      </c>
      <c r="J65" s="11" t="inlineStr">
        <is>
          <t>sem alteracao</t>
        </is>
      </c>
    </row>
    <row r="66" ht="15" customHeight="1" s="9">
      <c r="A66" s="8" t="inlineStr">
        <is>
          <t>7.9</t>
        </is>
      </c>
      <c r="B66" s="8" t="inlineStr">
        <is>
          <t>86931</t>
        </is>
      </c>
      <c r="C66" s="8" t="inlineStr">
        <is>
          <t>Vaso sanitario caixa acoplada</t>
        </is>
      </c>
      <c r="D66" s="8" t="inlineStr">
        <is>
          <t>un</t>
        </is>
      </c>
      <c r="E66" s="13" t="n">
        <v>1</v>
      </c>
      <c r="F66" s="13" t="n">
        <v>485</v>
      </c>
      <c r="G66" s="8">
        <f>E66*F66</f>
        <v/>
      </c>
      <c r="H66" s="8" t="inlineStr">
        <is>
          <t>SINAPI</t>
        </is>
      </c>
      <c r="I66" s="8" t="n">
        <v>7</v>
      </c>
      <c r="J66" s="11" t="inlineStr">
        <is>
          <t>sem alteracao</t>
        </is>
      </c>
    </row>
    <row r="67" ht="15" customHeight="1" s="9">
      <c r="A67" s="8" t="inlineStr">
        <is>
          <t>7.10</t>
        </is>
      </c>
      <c r="B67" s="8" t="inlineStr">
        <is>
          <t>86888</t>
        </is>
      </c>
      <c r="C67" s="8" t="inlineStr">
        <is>
          <t>Lavatorio coluna suspensa 41x34</t>
        </is>
      </c>
      <c r="D67" s="8" t="inlineStr">
        <is>
          <t>un</t>
        </is>
      </c>
      <c r="E67" s="13" t="n">
        <v>1</v>
      </c>
      <c r="F67" s="13" t="n">
        <v>285</v>
      </c>
      <c r="G67" s="8">
        <f>E67*F67</f>
        <v/>
      </c>
      <c r="H67" s="8" t="inlineStr">
        <is>
          <t>SINAPI</t>
        </is>
      </c>
      <c r="I67" s="8" t="n">
        <v>7</v>
      </c>
      <c r="J67" s="11" t="inlineStr">
        <is>
          <t>sem alteracao</t>
        </is>
      </c>
    </row>
    <row r="68" ht="15" customHeight="1" s="9">
      <c r="A68" s="8" t="inlineStr">
        <is>
          <t>7.11</t>
        </is>
      </c>
      <c r="B68" s="8" t="inlineStr">
        <is>
          <t>86935</t>
        </is>
      </c>
      <c r="C68" s="8" t="inlineStr">
        <is>
          <t>Bancada pia granito 1,20x0,55 + cuba inox</t>
        </is>
      </c>
      <c r="D68" s="8" t="inlineStr">
        <is>
          <t>un</t>
        </is>
      </c>
      <c r="E68" s="13" t="n">
        <v>1</v>
      </c>
      <c r="F68" s="13" t="n">
        <v>985</v>
      </c>
      <c r="G68" s="8">
        <f>E68*F68</f>
        <v/>
      </c>
      <c r="H68" s="8" t="inlineStr">
        <is>
          <t>SINAPI</t>
        </is>
      </c>
      <c r="I68" s="8" t="n">
        <v>7</v>
      </c>
      <c r="J68" s="11" t="inlineStr">
        <is>
          <t>na parede da junta (cozinha)</t>
        </is>
      </c>
    </row>
    <row r="69" ht="15" customHeight="1" s="9">
      <c r="A69" s="8" t="inlineStr">
        <is>
          <t>7.12</t>
        </is>
      </c>
      <c r="B69" s="8" t="inlineStr">
        <is>
          <t>86934</t>
        </is>
      </c>
      <c r="C69" s="8" t="inlineStr">
        <is>
          <t>Tanque marmore sintetico 24L</t>
        </is>
      </c>
      <c r="D69" s="8" t="inlineStr">
        <is>
          <t>un</t>
        </is>
      </c>
      <c r="E69" s="13" t="n">
        <v>1</v>
      </c>
      <c r="F69" s="13" t="n">
        <v>320</v>
      </c>
      <c r="G69" s="8">
        <f>E69*F69</f>
        <v/>
      </c>
      <c r="H69" s="8" t="inlineStr">
        <is>
          <t>SINAPI</t>
        </is>
      </c>
      <c r="I69" s="8" t="n">
        <v>7</v>
      </c>
      <c r="J69" s="11" t="inlineStr">
        <is>
          <t>no recuo coberto, contra F5-A</t>
        </is>
      </c>
    </row>
    <row r="70" ht="15" customHeight="1" s="9">
      <c r="A70" s="8" t="inlineStr">
        <is>
          <t>7.13</t>
        </is>
      </c>
      <c r="B70" s="8" t="inlineStr">
        <is>
          <t>86915</t>
        </is>
      </c>
      <c r="C70" s="8" t="inlineStr">
        <is>
          <t>Torneira mesa bica baixa (lavatorio)</t>
        </is>
      </c>
      <c r="D70" s="8" t="inlineStr">
        <is>
          <t>un</t>
        </is>
      </c>
      <c r="E70" s="13" t="n">
        <v>1</v>
      </c>
      <c r="F70" s="13" t="n">
        <v>145</v>
      </c>
      <c r="G70" s="8">
        <f>E70*F70</f>
        <v/>
      </c>
      <c r="H70" s="8" t="inlineStr">
        <is>
          <t>SINAPI</t>
        </is>
      </c>
      <c r="I70" s="8" t="n">
        <v>7</v>
      </c>
      <c r="J70" s="11" t="inlineStr">
        <is>
          <t>sem alteracao</t>
        </is>
      </c>
    </row>
    <row r="71" ht="15" customHeight="1" s="9">
      <c r="A71" s="8" t="inlineStr">
        <is>
          <t>7.14</t>
        </is>
      </c>
      <c r="B71" s="8" t="inlineStr">
        <is>
          <t>86905</t>
        </is>
      </c>
      <c r="C71" s="8" t="inlineStr">
        <is>
          <t>Torneira parede bica movel (pia)</t>
        </is>
      </c>
      <c r="D71" s="8" t="inlineStr">
        <is>
          <t>un</t>
        </is>
      </c>
      <c r="E71" s="13" t="n">
        <v>1</v>
      </c>
      <c r="F71" s="13" t="n">
        <v>165</v>
      </c>
      <c r="G71" s="8">
        <f>E71*F71</f>
        <v/>
      </c>
      <c r="H71" s="8" t="inlineStr">
        <is>
          <t>SINAPI</t>
        </is>
      </c>
      <c r="I71" s="8" t="n">
        <v>7</v>
      </c>
      <c r="J71" s="11" t="inlineStr">
        <is>
          <t>sem alteracao</t>
        </is>
      </c>
    </row>
    <row r="72" ht="15" customHeight="1" s="9">
      <c r="A72" s="8" t="inlineStr">
        <is>
          <t>7.15</t>
        </is>
      </c>
      <c r="B72" s="8" t="inlineStr">
        <is>
          <t>86906</t>
        </is>
      </c>
      <c r="C72" s="8" t="inlineStr">
        <is>
          <t>Torneira parede (tanque)</t>
        </is>
      </c>
      <c r="D72" s="8" t="inlineStr">
        <is>
          <t>un</t>
        </is>
      </c>
      <c r="E72" s="13" t="n">
        <v>1</v>
      </c>
      <c r="F72" s="13" t="n">
        <v>145</v>
      </c>
      <c r="G72" s="8">
        <f>E72*F72</f>
        <v/>
      </c>
      <c r="H72" s="8" t="inlineStr">
        <is>
          <t>SINAPI</t>
        </is>
      </c>
      <c r="I72" s="8" t="n">
        <v>7</v>
      </c>
      <c r="J72" s="11" t="inlineStr">
        <is>
          <t>sem alteracao</t>
        </is>
      </c>
    </row>
    <row r="73" ht="15" customHeight="1" s="9">
      <c r="A73" s="8" t="inlineStr">
        <is>
          <t>7.16</t>
        </is>
      </c>
      <c r="B73" s="8" t="inlineStr">
        <is>
          <t>89691</t>
        </is>
      </c>
      <c r="C73" s="8" t="inlineStr">
        <is>
          <t>Ducha eletrica 5500W 220V</t>
        </is>
      </c>
      <c r="D73" s="8" t="inlineStr">
        <is>
          <t>un</t>
        </is>
      </c>
      <c r="E73" s="13" t="n">
        <v>1</v>
      </c>
      <c r="F73" s="13" t="n">
        <v>245</v>
      </c>
      <c r="G73" s="8">
        <f>E73*F73</f>
        <v/>
      </c>
      <c r="H73" s="8" t="inlineStr">
        <is>
          <t>SINAPI</t>
        </is>
      </c>
      <c r="I73" s="8" t="n">
        <v>7</v>
      </c>
      <c r="J73" s="11" t="inlineStr">
        <is>
          <t>sem alteracao</t>
        </is>
      </c>
    </row>
    <row r="74" ht="15" customHeight="1" s="9">
      <c r="A74" s="8" t="inlineStr">
        <is>
          <t>7.17</t>
        </is>
      </c>
      <c r="B74" s="8" t="inlineStr">
        <is>
          <t>98106</t>
        </is>
      </c>
      <c r="C74" s="8" t="inlineStr">
        <is>
          <t>Mao de obra instalacao hidraulica</t>
        </is>
      </c>
      <c r="D74" s="8" t="inlineStr">
        <is>
          <t>h-h</t>
        </is>
      </c>
      <c r="E74" s="13" t="n">
        <v>30</v>
      </c>
      <c r="F74" s="13" t="n">
        <v>38</v>
      </c>
      <c r="G74" s="8">
        <f>E74*F74</f>
        <v/>
      </c>
      <c r="H74" s="8" t="inlineStr">
        <is>
          <t>SINAPI</t>
        </is>
      </c>
      <c r="I74" s="8" t="n">
        <v>7</v>
      </c>
      <c r="J74" s="11" t="inlineStr">
        <is>
          <t>+2 h-h</t>
        </is>
      </c>
    </row>
    <row r="75" ht="15" customHeight="1" s="9">
      <c r="A75" s="12" t="inlineStr">
        <is>
          <t>8.0 INSTALACOES ELETRICAS</t>
        </is>
      </c>
    </row>
    <row r="76" ht="15" customHeight="1" s="9">
      <c r="A76" s="8" t="inlineStr">
        <is>
          <t>8.1</t>
        </is>
      </c>
      <c r="B76" s="8" t="inlineStr">
        <is>
          <t>93653</t>
        </is>
      </c>
      <c r="C76" s="8" t="inlineStr">
        <is>
          <t>Quadro distribuicao PVC 10 disjuntores DIN (era 8)</t>
        </is>
      </c>
      <c r="D76" s="8" t="inlineStr">
        <is>
          <t>un</t>
        </is>
      </c>
      <c r="E76" s="13" t="n">
        <v>1</v>
      </c>
      <c r="F76" s="13" t="n">
        <v>365</v>
      </c>
      <c r="G76" s="8">
        <f>E76*F76</f>
        <v/>
      </c>
      <c r="H76" s="8" t="inlineStr">
        <is>
          <t>SINAPI</t>
        </is>
      </c>
      <c r="I76" s="8" t="n">
        <v>8</v>
      </c>
      <c r="J76" s="11" t="inlineStr">
        <is>
          <t>+2 posicoes p/ circuitos A/C</t>
        </is>
      </c>
    </row>
    <row r="77" ht="15" customHeight="1" s="9">
      <c r="A77" s="8" t="inlineStr">
        <is>
          <t>8.2</t>
        </is>
      </c>
      <c r="B77" s="8" t="inlineStr">
        <is>
          <t>93655</t>
        </is>
      </c>
      <c r="C77" s="8" t="inlineStr">
        <is>
          <t>Disjuntor monopolar 10-20A</t>
        </is>
      </c>
      <c r="D77" s="8" t="inlineStr">
        <is>
          <t>un</t>
        </is>
      </c>
      <c r="E77" s="13" t="n">
        <v>9</v>
      </c>
      <c r="F77" s="13" t="n">
        <v>28</v>
      </c>
      <c r="G77" s="8">
        <f>E77*F77</f>
        <v/>
      </c>
      <c r="H77" s="8" t="inlineStr">
        <is>
          <t>SINAPI</t>
        </is>
      </c>
      <c r="I77" s="8" t="n">
        <v>8</v>
      </c>
      <c r="J77" s="11" t="inlineStr">
        <is>
          <t>+3 un: circuitos dedicados A/C</t>
        </is>
      </c>
    </row>
    <row r="78" ht="15" customHeight="1" s="9">
      <c r="A78" s="8" t="inlineStr">
        <is>
          <t>8.3</t>
        </is>
      </c>
      <c r="B78" s="8" t="inlineStr">
        <is>
          <t>93656</t>
        </is>
      </c>
      <c r="C78" s="8" t="inlineStr">
        <is>
          <t>Disjuntor bipolar 32A (chuveiro)</t>
        </is>
      </c>
      <c r="D78" s="8" t="inlineStr">
        <is>
          <t>un</t>
        </is>
      </c>
      <c r="E78" s="13" t="n">
        <v>1</v>
      </c>
      <c r="F78" s="13" t="n">
        <v>58</v>
      </c>
      <c r="G78" s="8">
        <f>E78*F78</f>
        <v/>
      </c>
      <c r="H78" s="8" t="inlineStr">
        <is>
          <t>SINAPI</t>
        </is>
      </c>
      <c r="I78" s="8" t="n">
        <v>8</v>
      </c>
      <c r="J78" s="11" t="inlineStr">
        <is>
          <t>sem alteracao</t>
        </is>
      </c>
    </row>
    <row r="79" ht="15" customHeight="1" s="9">
      <c r="A79" s="8" t="inlineStr">
        <is>
          <t>8.4</t>
        </is>
      </c>
      <c r="B79" s="8" t="inlineStr">
        <is>
          <t>93658</t>
        </is>
      </c>
      <c r="C79" s="8" t="inlineStr">
        <is>
          <t>Disjuntor geral bipolar 63A</t>
        </is>
      </c>
      <c r="D79" s="8" t="inlineStr">
        <is>
          <t>un</t>
        </is>
      </c>
      <c r="E79" s="13" t="n">
        <v>1</v>
      </c>
      <c r="F79" s="13" t="n">
        <v>95</v>
      </c>
      <c r="G79" s="8">
        <f>E79*F79</f>
        <v/>
      </c>
      <c r="H79" s="8" t="inlineStr">
        <is>
          <t>SINAPI</t>
        </is>
      </c>
      <c r="I79" s="8" t="n">
        <v>8</v>
      </c>
      <c r="J79" s="11" t="inlineStr">
        <is>
          <t>sem alteracao</t>
        </is>
      </c>
    </row>
    <row r="80" ht="15" customHeight="1" s="9">
      <c r="A80" s="8" t="inlineStr">
        <is>
          <t>8.5</t>
        </is>
      </c>
      <c r="B80" s="8" t="inlineStr">
        <is>
          <t>91173</t>
        </is>
      </c>
      <c r="C80" s="8" t="inlineStr">
        <is>
          <t>Eletroduto flexivel PVC DN25</t>
        </is>
      </c>
      <c r="D80" s="8" t="inlineStr">
        <is>
          <t>m</t>
        </is>
      </c>
      <c r="E80" s="13" t="n">
        <v>110.1</v>
      </c>
      <c r="F80" s="13" t="n">
        <v>8.5</v>
      </c>
      <c r="G80" s="8">
        <f>E80*F80</f>
        <v/>
      </c>
      <c r="H80" s="8" t="inlineStr">
        <is>
          <t>SINAPI</t>
        </is>
      </c>
      <c r="I80" s="8" t="n">
        <v>8</v>
      </c>
      <c r="J80" s="11" t="inlineStr">
        <is>
          <t>-21 m: QD relocado p/ perto do cluster (modelo R8)</t>
        </is>
      </c>
    </row>
    <row r="81" ht="15" customHeight="1" s="9">
      <c r="A81" s="8" t="inlineStr">
        <is>
          <t>8.6</t>
        </is>
      </c>
      <c r="B81" s="8" t="inlineStr">
        <is>
          <t>91926</t>
        </is>
      </c>
      <c r="C81" s="8" t="inlineStr">
        <is>
          <t>Cabo flexivel 750V 2,5 mm²</t>
        </is>
      </c>
      <c r="D81" s="8" t="inlineStr">
        <is>
          <t>m</t>
        </is>
      </c>
      <c r="E81" s="13" t="n">
        <v>321.7</v>
      </c>
      <c r="F81" s="13" t="n">
        <v>4.2</v>
      </c>
      <c r="G81" s="8">
        <f>E81*F81</f>
        <v/>
      </c>
      <c r="H81" s="8" t="inlineStr">
        <is>
          <t>SINAPI</t>
        </is>
      </c>
      <c r="I81" s="8" t="n">
        <v>8</v>
      </c>
      <c r="J81" s="11" t="inlineStr">
        <is>
          <t>proporcional a 8.5</t>
        </is>
      </c>
    </row>
    <row r="82" ht="15" customHeight="1" s="9">
      <c r="A82" s="8" t="inlineStr">
        <is>
          <t>8.7</t>
        </is>
      </c>
      <c r="B82" s="8" t="inlineStr">
        <is>
          <t>91927</t>
        </is>
      </c>
      <c r="C82" s="8" t="inlineStr">
        <is>
          <t>Cabo flexivel 750V 4,0 mm²</t>
        </is>
      </c>
      <c r="D82" s="8" t="inlineStr">
        <is>
          <t>m</t>
        </is>
      </c>
      <c r="E82" s="13" t="n">
        <v>32</v>
      </c>
      <c r="F82" s="13" t="n">
        <v>6.8</v>
      </c>
      <c r="G82" s="8">
        <f>E82*F82</f>
        <v/>
      </c>
      <c r="H82" s="8" t="inlineStr">
        <is>
          <t>SINAPI</t>
        </is>
      </c>
      <c r="I82" s="8" t="n">
        <v>8</v>
      </c>
      <c r="J82" s="11" t="inlineStr">
        <is>
          <t>sem alteracao</t>
        </is>
      </c>
    </row>
    <row r="83" ht="15" customHeight="1" s="9">
      <c r="A83" s="8" t="inlineStr">
        <is>
          <t>8.8</t>
        </is>
      </c>
      <c r="B83" s="8" t="inlineStr">
        <is>
          <t>91928</t>
        </is>
      </c>
      <c r="C83" s="8" t="inlineStr">
        <is>
          <t>Cabo flexivel 750V 6,0 mm²</t>
        </is>
      </c>
      <c r="D83" s="8" t="inlineStr">
        <is>
          <t>m</t>
        </is>
      </c>
      <c r="E83" s="13" t="n">
        <v>18</v>
      </c>
      <c r="F83" s="13" t="n">
        <v>9.5</v>
      </c>
      <c r="G83" s="8">
        <f>E83*F83</f>
        <v/>
      </c>
      <c r="H83" s="8" t="inlineStr">
        <is>
          <t>SINAPI</t>
        </is>
      </c>
      <c r="I83" s="8" t="n">
        <v>8</v>
      </c>
      <c r="J83" s="11" t="inlineStr">
        <is>
          <t>sem alteracao</t>
        </is>
      </c>
    </row>
    <row r="84" ht="15" customHeight="1" s="9">
      <c r="A84" s="8" t="inlineStr">
        <is>
          <t>8.9</t>
        </is>
      </c>
      <c r="B84" s="8" t="inlineStr">
        <is>
          <t>93128</t>
        </is>
      </c>
      <c r="C84" s="8" t="inlineStr">
        <is>
          <t>Tomada 2P+T 10A NBR14136</t>
        </is>
      </c>
      <c r="D84" s="8" t="inlineStr">
        <is>
          <t>un</t>
        </is>
      </c>
      <c r="E84" s="13" t="n">
        <v>17</v>
      </c>
      <c r="F84" s="13" t="n">
        <v>32</v>
      </c>
      <c r="G84" s="8">
        <f>E84*F84</f>
        <v/>
      </c>
      <c r="H84" s="8" t="inlineStr">
        <is>
          <t>SINAPI</t>
        </is>
      </c>
      <c r="I84" s="8" t="n">
        <v>8</v>
      </c>
      <c r="J84" s="11" t="inlineStr">
        <is>
          <t>conta do modelo R5 (17)</t>
        </is>
      </c>
    </row>
    <row r="85" ht="15" customHeight="1" s="9">
      <c r="A85" s="8" t="inlineStr">
        <is>
          <t>8.10</t>
        </is>
      </c>
      <c r="B85" s="8" t="inlineStr">
        <is>
          <t>93129</t>
        </is>
      </c>
      <c r="C85" s="8" t="inlineStr">
        <is>
          <t>Tomada 2P+T 20A</t>
        </is>
      </c>
      <c r="D85" s="8" t="inlineStr">
        <is>
          <t>un</t>
        </is>
      </c>
      <c r="E85" s="13" t="n">
        <v>3</v>
      </c>
      <c r="F85" s="13" t="n">
        <v>38</v>
      </c>
      <c r="G85" s="8">
        <f>E85*F85</f>
        <v/>
      </c>
      <c r="H85" s="8" t="inlineStr">
        <is>
          <t>SINAPI</t>
        </is>
      </c>
      <c r="I85" s="8" t="n">
        <v>8</v>
      </c>
      <c r="J85" s="11" t="inlineStr">
        <is>
          <t>sem alteracao</t>
        </is>
      </c>
    </row>
    <row r="86" ht="15" customHeight="1" s="9">
      <c r="A86" s="8" t="inlineStr">
        <is>
          <t>8.11</t>
        </is>
      </c>
      <c r="B86" s="8" t="inlineStr">
        <is>
          <t>93141</t>
        </is>
      </c>
      <c r="C86" s="8" t="inlineStr">
        <is>
          <t>Interruptor simples 10A</t>
        </is>
      </c>
      <c r="D86" s="8" t="inlineStr">
        <is>
          <t>un</t>
        </is>
      </c>
      <c r="E86" s="13" t="n">
        <v>5</v>
      </c>
      <c r="F86" s="13" t="n">
        <v>28</v>
      </c>
      <c r="G86" s="8">
        <f>E86*F86</f>
        <v/>
      </c>
      <c r="H86" s="8" t="inlineStr">
        <is>
          <t>SINAPI</t>
        </is>
      </c>
      <c r="I86" s="8" t="n">
        <v>8</v>
      </c>
      <c r="J86" s="11" t="inlineStr">
        <is>
          <t>sem alteracao</t>
        </is>
      </c>
    </row>
    <row r="87" ht="15" customHeight="1" s="9">
      <c r="A87" s="8" t="inlineStr">
        <is>
          <t>8.12</t>
        </is>
      </c>
      <c r="B87" s="8" t="inlineStr">
        <is>
          <t>93142</t>
        </is>
      </c>
      <c r="C87" s="8" t="inlineStr">
        <is>
          <t>Interruptor paralelo (three-way)</t>
        </is>
      </c>
      <c r="D87" s="8" t="inlineStr">
        <is>
          <t>un</t>
        </is>
      </c>
      <c r="E87" s="13" t="n">
        <v>3</v>
      </c>
      <c r="F87" s="13" t="n">
        <v>32</v>
      </c>
      <c r="G87" s="8">
        <f>E87*F87</f>
        <v/>
      </c>
      <c r="H87" s="8" t="inlineStr">
        <is>
          <t>SINAPI</t>
        </is>
      </c>
      <c r="I87" s="8" t="n">
        <v>8</v>
      </c>
      <c r="J87" s="11" t="inlineStr">
        <is>
          <t>+1: corredor dos quartos</t>
        </is>
      </c>
    </row>
    <row r="88" ht="15" customHeight="1" s="9">
      <c r="A88" s="8" t="inlineStr">
        <is>
          <t>8.13</t>
        </is>
      </c>
      <c r="B88" s="8" t="inlineStr">
        <is>
          <t>97593</t>
        </is>
      </c>
      <c r="C88" s="8" t="inlineStr">
        <is>
          <t>Ponto de iluminacao completo</t>
        </is>
      </c>
      <c r="D88" s="8" t="inlineStr">
        <is>
          <t>un</t>
        </is>
      </c>
      <c r="E88" s="13" t="n">
        <v>7</v>
      </c>
      <c r="F88" s="13" t="n">
        <v>78</v>
      </c>
      <c r="G88" s="8">
        <f>E88*F88</f>
        <v/>
      </c>
      <c r="H88" s="8" t="inlineStr">
        <is>
          <t>SINAPI</t>
        </is>
      </c>
      <c r="I88" s="8" t="n">
        <v>8</v>
      </c>
      <c r="J88" s="11" t="inlineStr">
        <is>
          <t>+1: plafon do corredor</t>
        </is>
      </c>
    </row>
    <row r="89" ht="15" customHeight="1" s="9">
      <c r="A89" s="8" t="inlineStr">
        <is>
          <t>8.14</t>
        </is>
      </c>
      <c r="B89" s="8" t="inlineStr">
        <is>
          <t>98298</t>
        </is>
      </c>
      <c r="C89" s="8" t="inlineStr">
        <is>
          <t>Haste aterramento 5/8 x 2,40 m</t>
        </is>
      </c>
      <c r="D89" s="8" t="inlineStr">
        <is>
          <t>un</t>
        </is>
      </c>
      <c r="E89" s="13" t="n">
        <v>1</v>
      </c>
      <c r="F89" s="13" t="n">
        <v>95</v>
      </c>
      <c r="G89" s="8">
        <f>E89*F89</f>
        <v/>
      </c>
      <c r="H89" s="8" t="inlineStr">
        <is>
          <t>SINAPI</t>
        </is>
      </c>
      <c r="I89" s="8" t="n">
        <v>8</v>
      </c>
      <c r="J89" s="11" t="inlineStr">
        <is>
          <t>sem alteracao</t>
        </is>
      </c>
    </row>
    <row r="90" ht="15" customHeight="1" s="9">
      <c r="A90" s="8" t="inlineStr">
        <is>
          <t>8.15</t>
        </is>
      </c>
      <c r="B90" s="8" t="inlineStr">
        <is>
          <t>COMP-MTX-17</t>
        </is>
      </c>
      <c r="C90" s="8" t="inlineStr">
        <is>
          <t>Eletroduto DN32 + cabo guia pre-instalacao FV</t>
        </is>
      </c>
      <c r="D90" s="8" t="inlineStr">
        <is>
          <t>vb</t>
        </is>
      </c>
      <c r="E90" s="13" t="n">
        <v>1</v>
      </c>
      <c r="F90" s="13" t="n">
        <v>420</v>
      </c>
      <c r="G90" s="8">
        <f>E90*F90</f>
        <v/>
      </c>
      <c r="H90" s="8" t="inlineStr">
        <is>
          <t>COMP-MTX</t>
        </is>
      </c>
      <c r="I90" s="8" t="n">
        <v>8</v>
      </c>
      <c r="J90" s="11" t="inlineStr">
        <is>
          <t>sem alteracao</t>
        </is>
      </c>
    </row>
    <row r="91" ht="15" customHeight="1" s="9">
      <c r="A91" s="8" t="inlineStr">
        <is>
          <t>8.16</t>
        </is>
      </c>
      <c r="B91" s="8" t="inlineStr">
        <is>
          <t>97667</t>
        </is>
      </c>
      <c r="C91" s="8" t="inlineStr">
        <is>
          <t>Mao de obra instalacao eletrica</t>
        </is>
      </c>
      <c r="D91" s="8" t="inlineStr">
        <is>
          <t>h-h</t>
        </is>
      </c>
      <c r="E91" s="13" t="n">
        <v>40</v>
      </c>
      <c r="F91" s="13" t="n">
        <v>42</v>
      </c>
      <c r="G91" s="8">
        <f>E91*F91</f>
        <v/>
      </c>
      <c r="H91" s="8" t="inlineStr">
        <is>
          <t>SINAPI</t>
        </is>
      </c>
      <c r="I91" s="8" t="n">
        <v>8</v>
      </c>
      <c r="J91" s="11" t="inlineStr">
        <is>
          <t>+4 h-h (A/C)</t>
        </is>
      </c>
    </row>
    <row r="92" ht="15" customHeight="1" s="9">
      <c r="A92" s="8" t="inlineStr">
        <is>
          <t>8.17</t>
        </is>
      </c>
      <c r="B92" s="8" t="inlineStr">
        <is>
          <t>COMP-MTX-31</t>
        </is>
      </c>
      <c r="C92" s="8" t="inlineStr">
        <is>
          <t>Conectores plug-in travessia da junta</t>
        </is>
      </c>
      <c r="D92" s="8" t="inlineStr">
        <is>
          <t>vb</t>
        </is>
      </c>
      <c r="E92" s="13" t="n">
        <v>1</v>
      </c>
      <c r="F92" s="13" t="n">
        <v>380</v>
      </c>
      <c r="G92" s="8">
        <f>E92*F92</f>
        <v/>
      </c>
      <c r="H92" s="8" t="inlineStr">
        <is>
          <t>COMP-MTX</t>
        </is>
      </c>
      <c r="I92" s="8" t="n">
        <v>8</v>
      </c>
      <c r="J92" s="11" t="inlineStr">
        <is>
          <t>sem alteracao</t>
        </is>
      </c>
    </row>
    <row r="93" ht="15" customHeight="1" s="9">
      <c r="A93" s="8" t="inlineStr">
        <is>
          <t>8.18</t>
        </is>
      </c>
      <c r="B93" s="8" t="inlineStr">
        <is>
          <t>COMP-MTX-37</t>
        </is>
      </c>
      <c r="C93" s="8" t="inlineStr">
        <is>
          <t>2 luminarias externas no soffit (portico + lavanderia)</t>
        </is>
      </c>
      <c r="D93" s="8" t="inlineStr">
        <is>
          <t>vb</t>
        </is>
      </c>
      <c r="E93" s="13" t="n">
        <v>1</v>
      </c>
      <c r="F93" s="13" t="n">
        <v>290</v>
      </c>
      <c r="G93" s="8">
        <f>E93*F93</f>
        <v/>
      </c>
      <c r="H93" s="8" t="inlineStr">
        <is>
          <t>COMP-MTX</t>
        </is>
      </c>
      <c r="I93" s="8" t="n">
        <v>8</v>
      </c>
      <c r="J93" s="11" t="inlineStr">
        <is>
          <t>relocadas p/ os recuos</t>
        </is>
      </c>
    </row>
    <row r="94" ht="15" customHeight="1" s="9">
      <c r="A94" s="8" t="inlineStr">
        <is>
          <t>8.19</t>
        </is>
      </c>
      <c r="B94" s="8" t="inlineStr">
        <is>
          <t>COMP-MTX-39</t>
        </is>
      </c>
      <c r="C94" s="8" t="inlineStr">
        <is>
          <t>Ponto de A/C completo: tomada 16A dedicada + infra + dreno DN25 (Q1/Q2/Q3)</t>
        </is>
      </c>
      <c r="D94" s="8" t="inlineStr">
        <is>
          <t>un</t>
        </is>
      </c>
      <c r="E94" s="13" t="n">
        <v>3</v>
      </c>
      <c r="F94" s="13" t="n">
        <v>185</v>
      </c>
      <c r="G94" s="8">
        <f>E94*F94</f>
        <v/>
      </c>
      <c r="H94" s="8" t="inlineStr">
        <is>
          <t>COMP-MTX</t>
        </is>
      </c>
      <c r="I94" s="8" t="n">
        <v>8</v>
      </c>
      <c r="J94" s="11" t="inlineStr">
        <is>
          <t>NOVO: exigencia MCMV Portaria 725/2023 (achado A-04)</t>
        </is>
      </c>
    </row>
    <row r="95" ht="15" customHeight="1" s="9">
      <c r="A95" s="12" t="inlineStr">
        <is>
          <t>9.0 PINTURA</t>
        </is>
      </c>
    </row>
    <row r="96" ht="15" customHeight="1" s="9">
      <c r="A96" s="8" t="inlineStr">
        <is>
          <t>9.1</t>
        </is>
      </c>
      <c r="B96" s="8" t="inlineStr">
        <is>
          <t>88489</t>
        </is>
      </c>
      <c r="C96" s="8" t="inlineStr">
        <is>
          <t>Selador acrilico paredes internas</t>
        </is>
      </c>
      <c r="D96" s="8" t="inlineStr">
        <is>
          <t>m²</t>
        </is>
      </c>
      <c r="E96" s="13" t="n">
        <v>274.5</v>
      </c>
      <c r="F96" s="13" t="n">
        <v>8.5</v>
      </c>
      <c r="G96" s="8">
        <f>E96*F96</f>
        <v/>
      </c>
      <c r="H96" s="8" t="inlineStr">
        <is>
          <t>SINAPI</t>
        </is>
      </c>
      <c r="I96" s="8" t="n">
        <v>9</v>
      </c>
      <c r="J96" s="11" t="inlineStr">
        <is>
          <t>proporcional a 5.3</t>
        </is>
      </c>
    </row>
    <row r="97" ht="15" customHeight="1" s="9">
      <c r="A97" s="8" t="inlineStr">
        <is>
          <t>9.2</t>
        </is>
      </c>
      <c r="B97" s="8" t="inlineStr">
        <is>
          <t>88488</t>
        </is>
      </c>
      <c r="C97" s="8" t="inlineStr">
        <is>
          <t>Pintura acrilica fosca interna</t>
        </is>
      </c>
      <c r="D97" s="8" t="inlineStr">
        <is>
          <t>m²</t>
        </is>
      </c>
      <c r="E97" s="13" t="n">
        <v>284</v>
      </c>
      <c r="F97" s="13" t="n">
        <v>18.5</v>
      </c>
      <c r="G97" s="8">
        <f>E97*F97</f>
        <v/>
      </c>
      <c r="H97" s="8" t="inlineStr">
        <is>
          <t>SINAPI</t>
        </is>
      </c>
      <c r="I97" s="8" t="n">
        <v>9</v>
      </c>
      <c r="J97" s="11" t="inlineStr">
        <is>
          <t>idem</t>
        </is>
      </c>
    </row>
    <row r="98" ht="15" customHeight="1" s="9">
      <c r="A98" s="8" t="inlineStr">
        <is>
          <t>9.3</t>
        </is>
      </c>
      <c r="B98" s="8" t="inlineStr">
        <is>
          <t>COMP-MTX-18</t>
        </is>
      </c>
      <c r="C98" s="8" t="inlineStr">
        <is>
          <t>Selador acrilico cimenticias externas</t>
        </is>
      </c>
      <c r="D98" s="8" t="inlineStr">
        <is>
          <t>m²</t>
        </is>
      </c>
      <c r="E98" s="13" t="n">
        <v>130.3</v>
      </c>
      <c r="F98" s="13" t="n">
        <v>11.5</v>
      </c>
      <c r="G98" s="8">
        <f>E98*F98</f>
        <v/>
      </c>
      <c r="H98" s="8" t="inlineStr">
        <is>
          <t>COMP-MTX</t>
        </is>
      </c>
      <c r="I98" s="8" t="n">
        <v>9</v>
      </c>
      <c r="J98" s="11" t="inlineStr">
        <is>
          <t>idem 2.3</t>
        </is>
      </c>
    </row>
    <row r="99" ht="15" customHeight="1" s="9">
      <c r="A99" s="8" t="inlineStr">
        <is>
          <t>9.4</t>
        </is>
      </c>
      <c r="B99" s="8" t="inlineStr">
        <is>
          <t>COMP-MTX-19</t>
        </is>
      </c>
      <c r="C99" s="8" t="inlineStr">
        <is>
          <t>Pintura elastomerica VERDE SALVIA externa</t>
        </is>
      </c>
      <c r="D99" s="8" t="inlineStr">
        <is>
          <t>m²</t>
        </is>
      </c>
      <c r="E99" s="13" t="n">
        <v>130.3</v>
      </c>
      <c r="F99" s="13" t="n">
        <v>42</v>
      </c>
      <c r="G99" s="8">
        <f>E99*F99</f>
        <v/>
      </c>
      <c r="H99" s="8" t="inlineStr">
        <is>
          <t>COMP-MTX</t>
        </is>
      </c>
      <c r="I99" s="8" t="n">
        <v>9</v>
      </c>
      <c r="J99" s="11" t="inlineStr">
        <is>
          <t>idem 2.3</t>
        </is>
      </c>
    </row>
    <row r="100" ht="15" customHeight="1" s="9">
      <c r="A100" s="8" t="inlineStr">
        <is>
          <t>9.5</t>
        </is>
      </c>
      <c r="B100" s="8" t="inlineStr">
        <is>
          <t>COMP-MTX-20</t>
        </is>
      </c>
      <c r="C100" s="8" t="inlineStr">
        <is>
          <t>Verniz acrilico protetor UV externo</t>
        </is>
      </c>
      <c r="D100" s="8" t="inlineStr">
        <is>
          <t>m²</t>
        </is>
      </c>
      <c r="E100" s="13" t="n">
        <v>130.3</v>
      </c>
      <c r="F100" s="13" t="n">
        <v>14</v>
      </c>
      <c r="G100" s="8">
        <f>E100*F100</f>
        <v/>
      </c>
      <c r="H100" s="8" t="inlineStr">
        <is>
          <t>COMP-MTX</t>
        </is>
      </c>
      <c r="I100" s="8" t="n">
        <v>9</v>
      </c>
      <c r="J100" s="11" t="inlineStr">
        <is>
          <t>idem 2.3</t>
        </is>
      </c>
    </row>
    <row r="101" ht="15" customHeight="1" s="9">
      <c r="A101" s="12" t="inlineStr">
        <is>
          <t>10.0 FORRO</t>
        </is>
      </c>
    </row>
    <row r="102" ht="15" customHeight="1" s="9">
      <c r="A102" s="8" t="inlineStr">
        <is>
          <t>10.1</t>
        </is>
      </c>
      <c r="B102" s="8" t="inlineStr">
        <is>
          <t>96485</t>
        </is>
      </c>
      <c r="C102" s="8" t="inlineStr">
        <is>
          <t>Forro gesso acartonado standard</t>
        </is>
      </c>
      <c r="D102" s="8" t="inlineStr">
        <is>
          <t>m²</t>
        </is>
      </c>
      <c r="E102" s="13" t="n">
        <v>54.2</v>
      </c>
      <c r="F102" s="13" t="n">
        <v>82</v>
      </c>
      <c r="G102" s="8">
        <f>E102*F102</f>
        <v/>
      </c>
      <c r="H102" s="8" t="inlineStr">
        <is>
          <t>SINAPI</t>
        </is>
      </c>
      <c r="I102" s="8" t="n">
        <v>10</v>
      </c>
      <c r="J102" s="11" t="inlineStr">
        <is>
          <t>+6,7 m²: area util R5 54,2 m²</t>
        </is>
      </c>
    </row>
    <row r="103" ht="15" customHeight="1" s="9">
      <c r="A103" s="8" t="inlineStr">
        <is>
          <t>10.2</t>
        </is>
      </c>
      <c r="B103" s="8" t="inlineStr">
        <is>
          <t>96109</t>
        </is>
      </c>
      <c r="C103" s="8" t="inlineStr">
        <is>
          <t>Tratamento de juntas do forro</t>
        </is>
      </c>
      <c r="D103" s="8" t="inlineStr">
        <is>
          <t>m²</t>
        </is>
      </c>
      <c r="E103" s="13" t="n">
        <v>54.2</v>
      </c>
      <c r="F103" s="13" t="n">
        <v>18</v>
      </c>
      <c r="G103" s="8">
        <f>E103*F103</f>
        <v/>
      </c>
      <c r="H103" s="8" t="inlineStr">
        <is>
          <t>SINAPI</t>
        </is>
      </c>
      <c r="I103" s="8" t="n">
        <v>10</v>
      </c>
      <c r="J103" s="11" t="inlineStr">
        <is>
          <t>idem</t>
        </is>
      </c>
    </row>
    <row r="104" ht="15" customHeight="1" s="9">
      <c r="A104" s="8" t="inlineStr">
        <is>
          <t>10.4</t>
        </is>
      </c>
      <c r="B104" s="8" t="inlineStr">
        <is>
          <t>COMP-MTX-21</t>
        </is>
      </c>
      <c r="C104" s="8" t="inlineStr">
        <is>
          <t>Estrutura suporte do forro F-530</t>
        </is>
      </c>
      <c r="D104" s="8" t="inlineStr">
        <is>
          <t>m²</t>
        </is>
      </c>
      <c r="E104" s="13" t="n">
        <v>54.2</v>
      </c>
      <c r="F104" s="13" t="n">
        <v>22</v>
      </c>
      <c r="G104" s="8">
        <f>E104*F104</f>
        <v/>
      </c>
      <c r="H104" s="8" t="inlineStr">
        <is>
          <t>SINAPI</t>
        </is>
      </c>
      <c r="I104" s="8" t="n">
        <v>10</v>
      </c>
      <c r="J104" s="11" t="inlineStr">
        <is>
          <t>idem</t>
        </is>
      </c>
    </row>
    <row r="105" ht="15" customHeight="1" s="9">
      <c r="A105" s="12" t="inlineStr">
        <is>
          <t>11.0 SERVICOS COMPLEMENTARES</t>
        </is>
      </c>
    </row>
    <row r="106" ht="15" customHeight="1" s="9">
      <c r="A106" s="8" t="inlineStr">
        <is>
          <t>11.1</t>
        </is>
      </c>
      <c r="B106" s="8" t="inlineStr">
        <is>
          <t>99799</t>
        </is>
      </c>
      <c r="C106" s="8" t="inlineStr">
        <is>
          <t>Limpeza fina final (interna e externa)</t>
        </is>
      </c>
      <c r="D106" s="8" t="inlineStr">
        <is>
          <t>m²</t>
        </is>
      </c>
      <c r="E106" s="13" t="n">
        <v>75.2</v>
      </c>
      <c r="F106" s="13" t="n">
        <v>12.5</v>
      </c>
      <c r="G106" s="8">
        <f>E106*F106</f>
        <v/>
      </c>
      <c r="H106" s="8" t="inlineStr">
        <is>
          <t>SINAPI</t>
        </is>
      </c>
      <c r="I106" s="8" t="n">
        <v>11</v>
      </c>
      <c r="J106" s="11" t="inlineStr">
        <is>
          <t>area construida R8 75,24 m² (modulos + recuos)</t>
        </is>
      </c>
    </row>
    <row r="107" ht="15" customHeight="1" s="9">
      <c r="A107" s="8" t="inlineStr">
        <is>
          <t>11.2</t>
        </is>
      </c>
      <c r="B107" s="8" t="inlineStr">
        <is>
          <t>98115</t>
        </is>
      </c>
      <c r="C107" s="8" t="inlineStr">
        <is>
          <t>Teste estanqueidade hidraulica 1,5x</t>
        </is>
      </c>
      <c r="D107" s="8" t="inlineStr">
        <is>
          <t>vb</t>
        </is>
      </c>
      <c r="E107" s="13" t="n">
        <v>1</v>
      </c>
      <c r="F107" s="13" t="n">
        <v>580</v>
      </c>
      <c r="G107" s="8">
        <f>E107*F107</f>
        <v/>
      </c>
      <c r="H107" s="8" t="inlineStr">
        <is>
          <t>SINAPI</t>
        </is>
      </c>
      <c r="I107" s="8" t="n">
        <v>11</v>
      </c>
      <c r="J107" s="11" t="inlineStr">
        <is>
          <t>sem alteracao</t>
        </is>
      </c>
    </row>
    <row r="108" ht="15" customHeight="1" s="9">
      <c r="A108" s="8" t="inlineStr">
        <is>
          <t>11.3</t>
        </is>
      </c>
      <c r="B108" s="8" t="inlineStr">
        <is>
          <t>98116</t>
        </is>
      </c>
      <c r="C108" s="8" t="inlineStr">
        <is>
          <t>Teste estanqueidade cobertura (simulacao chuva)</t>
        </is>
      </c>
      <c r="D108" s="8" t="inlineStr">
        <is>
          <t>vb</t>
        </is>
      </c>
      <c r="E108" s="13" t="n">
        <v>1</v>
      </c>
      <c r="F108" s="13" t="n">
        <v>480</v>
      </c>
      <c r="G108" s="8">
        <f>E108*F108</f>
        <v/>
      </c>
      <c r="H108" s="8" t="inlineStr">
        <is>
          <t>SINAPI</t>
        </is>
      </c>
      <c r="I108" s="8" t="n">
        <v>11</v>
      </c>
      <c r="J108" s="11" t="inlineStr">
        <is>
          <t>sem alteracao</t>
        </is>
      </c>
    </row>
    <row r="109" ht="15" customHeight="1" s="9">
      <c r="A109" s="8" t="inlineStr">
        <is>
          <t>11.4</t>
        </is>
      </c>
      <c r="B109" s="8" t="inlineStr">
        <is>
          <t>COMP-MTX-22</t>
        </is>
      </c>
      <c r="C109" s="8" t="inlineStr">
        <is>
          <t>Inspecao visual final PIT</t>
        </is>
      </c>
      <c r="D109" s="8" t="inlineStr">
        <is>
          <t>vb</t>
        </is>
      </c>
      <c r="E109" s="13" t="n">
        <v>1</v>
      </c>
      <c r="F109" s="13" t="n">
        <v>850</v>
      </c>
      <c r="G109" s="8">
        <f>E109*F109</f>
        <v/>
      </c>
      <c r="H109" s="8" t="inlineStr">
        <is>
          <t>COMP-MTX</t>
        </is>
      </c>
      <c r="I109" s="8" t="n">
        <v>11</v>
      </c>
      <c r="J109" s="11" t="inlineStr">
        <is>
          <t>sem alteracao</t>
        </is>
      </c>
    </row>
    <row r="110" ht="15" customHeight="1" s="9">
      <c r="A110" s="8" t="inlineStr">
        <is>
          <t>11.5</t>
        </is>
      </c>
      <c r="B110" s="8" t="inlineStr">
        <is>
          <t>COMP-MTX-23</t>
        </is>
      </c>
      <c r="C110" s="8" t="inlineStr">
        <is>
          <t>TAT + Manual do Proprietario</t>
        </is>
      </c>
      <c r="D110" s="8" t="inlineStr">
        <is>
          <t>vb</t>
        </is>
      </c>
      <c r="E110" s="13" t="n">
        <v>1</v>
      </c>
      <c r="F110" s="13" t="n">
        <v>320</v>
      </c>
      <c r="G110" s="8">
        <f>E110*F110</f>
        <v/>
      </c>
      <c r="H110" s="8" t="inlineStr">
        <is>
          <t>COMP-MTX</t>
        </is>
      </c>
      <c r="I110" s="8" t="n">
        <v>11</v>
      </c>
      <c r="J110" s="11" t="inlineStr">
        <is>
          <t>sem alteracao</t>
        </is>
      </c>
    </row>
    <row r="111" ht="15" customHeight="1" s="9">
      <c r="A111" s="8" t="inlineStr">
        <is>
          <t>11.6</t>
        </is>
      </c>
      <c r="B111" s="8" t="inlineStr">
        <is>
          <t>COMP-MTX-32</t>
        </is>
      </c>
      <c r="C111" s="8" t="inlineStr">
        <is>
          <t>Dry-fit: acoplamento de teste A+B (estacao 8)</t>
        </is>
      </c>
      <c r="D111" s="8" t="inlineStr">
        <is>
          <t>vb</t>
        </is>
      </c>
      <c r="E111" s="13" t="n">
        <v>1</v>
      </c>
      <c r="F111" s="13" t="n">
        <v>950</v>
      </c>
      <c r="G111" s="8">
        <f>E111*F111</f>
        <v/>
      </c>
      <c r="H111" s="8" t="inlineStr">
        <is>
          <t>COMP-MTX</t>
        </is>
      </c>
      <c r="I111" s="8" t="n">
        <v>11</v>
      </c>
      <c r="J111" s="11" t="inlineStr">
        <is>
          <t>OBRIGATORIO validar defasagem 2,10 no gabarito</t>
        </is>
      </c>
    </row>
    <row r="112" ht="15" customHeight="1" s="9">
      <c r="A112" s="12" t="inlineStr">
        <is>
          <t>12.0 MOBILIZACAO / TRANSPORTE / ICAMENTO</t>
        </is>
      </c>
    </row>
    <row r="113" ht="15" customHeight="1" s="9">
      <c r="A113" s="8" t="inlineStr">
        <is>
          <t>12.1</t>
        </is>
      </c>
      <c r="B113" s="8" t="inlineStr">
        <is>
          <t>COMP-MTX-24</t>
        </is>
      </c>
      <c r="C113" s="8" t="inlineStr">
        <is>
          <t>Mobilizacao/desmobilizacao equipamentos</t>
        </is>
      </c>
      <c r="D113" s="8" t="inlineStr">
        <is>
          <t>vb</t>
        </is>
      </c>
      <c r="E113" s="13" t="n">
        <v>1</v>
      </c>
      <c r="F113" s="13" t="n">
        <v>1850</v>
      </c>
      <c r="G113" s="8">
        <f>E113*F113</f>
        <v/>
      </c>
      <c r="H113" s="8" t="inlineStr">
        <is>
          <t>COMP-MTX</t>
        </is>
      </c>
      <c r="I113" s="8" t="n">
        <v>12</v>
      </c>
      <c r="J113" s="11" t="inlineStr">
        <is>
          <t>sem alteracao</t>
        </is>
      </c>
    </row>
    <row r="114" ht="15" customHeight="1" s="9">
      <c r="A114" s="8" t="inlineStr">
        <is>
          <t>12.2</t>
        </is>
      </c>
      <c r="B114" s="8" t="inlineStr">
        <is>
          <t>COMP-MTX-25</t>
        </is>
      </c>
      <c r="C114" s="8" t="inlineStr">
        <is>
          <t>Transporte rodoviario em prancha (2 modulos 9,30x3,30)</t>
        </is>
      </c>
      <c r="D114" s="8" t="inlineStr">
        <is>
          <t>vb</t>
        </is>
      </c>
      <c r="E114" s="13" t="n">
        <v>2</v>
      </c>
      <c r="F114" s="13" t="n">
        <v>1400</v>
      </c>
      <c r="G114" s="8">
        <f>E114*F114</f>
        <v/>
      </c>
      <c r="H114" s="8" t="inlineStr">
        <is>
          <t>COMP-MTX</t>
        </is>
      </c>
      <c r="I114" s="8" t="n">
        <v>12</v>
      </c>
      <c r="J114" s="11" t="inlineStr">
        <is>
          <t>modulos iguais - sem alteracao</t>
        </is>
      </c>
    </row>
    <row r="115" ht="15" customHeight="1" s="9">
      <c r="A115" s="8" t="inlineStr">
        <is>
          <t>12.3</t>
        </is>
      </c>
      <c r="B115" s="8" t="inlineStr">
        <is>
          <t>COMP-MTX-26</t>
        </is>
      </c>
      <c r="C115" s="8" t="inlineStr">
        <is>
          <t>Icamento e posicionamento sobre fundacao</t>
        </is>
      </c>
      <c r="D115" s="8" t="inlineStr">
        <is>
          <t>diaria</t>
        </is>
      </c>
      <c r="E115" s="13" t="n">
        <v>1</v>
      </c>
      <c r="F115" s="13" t="n">
        <v>1850</v>
      </c>
      <c r="G115" s="8">
        <f>E115*F115</f>
        <v/>
      </c>
      <c r="H115" s="8" t="inlineStr">
        <is>
          <t>COMP-MTX</t>
        </is>
      </c>
      <c r="I115" s="8" t="n">
        <v>12</v>
      </c>
      <c r="J115" s="11" t="inlineStr">
        <is>
          <t>atencao ao gabarito da defasagem 2,10 m</t>
        </is>
      </c>
    </row>
    <row r="116" ht="15" customHeight="1" s="9">
      <c r="A116" s="8" t="inlineStr">
        <is>
          <t>12.4</t>
        </is>
      </c>
      <c r="B116" s="8" t="inlineStr">
        <is>
          <t>COMP-MTX-27</t>
        </is>
      </c>
      <c r="C116" s="8" t="inlineStr">
        <is>
          <t>Equipe de montagem em campo</t>
        </is>
      </c>
      <c r="D116" s="8" t="inlineStr">
        <is>
          <t>h-h</t>
        </is>
      </c>
      <c r="E116" s="13" t="n">
        <v>34</v>
      </c>
      <c r="F116" s="13" t="n">
        <v>52</v>
      </c>
      <c r="G116" s="8">
        <f>E116*F116</f>
        <v/>
      </c>
      <c r="H116" s="8" t="inlineStr">
        <is>
          <t>COMP-MTX</t>
        </is>
      </c>
      <c r="I116" s="8" t="n">
        <v>12</v>
      </c>
      <c r="J116" s="11" t="inlineStr">
        <is>
          <t>+2 h-h (rufos/pilares recuos)</t>
        </is>
      </c>
    </row>
    <row r="118" ht="15" customHeight="1" s="9">
      <c r="A118" s="14" t="inlineStr">
        <is>
          <t>RESUMO POR ETAPA</t>
        </is>
      </c>
    </row>
    <row r="119" ht="15" customHeight="1" s="9">
      <c r="A119" s="8" t="inlineStr">
        <is>
          <t>Etapa 1.0</t>
        </is>
      </c>
      <c r="C119" s="8" t="inlineStr">
        <is>
          <t>Estrutura metalica</t>
        </is>
      </c>
      <c r="G119" s="8">
        <f>G6+G7+G8+G9+G10+G11+G12+G13+G14+G15+G16</f>
        <v/>
      </c>
    </row>
    <row r="120" ht="15" customHeight="1" s="9">
      <c r="A120" s="8" t="inlineStr">
        <is>
          <t>Etapa 2.0</t>
        </is>
      </c>
      <c r="C120" s="8" t="inlineStr">
        <is>
          <t>Vedacao vertical</t>
        </is>
      </c>
      <c r="G120" s="8">
        <f>G18+G19+G20+G21+G22+G23+G24+G25+G26+G27</f>
        <v/>
      </c>
    </row>
    <row r="121" ht="15" customHeight="1" s="9">
      <c r="A121" s="8" t="inlineStr">
        <is>
          <t>Etapa 3.0</t>
        </is>
      </c>
      <c r="C121" s="8" t="inlineStr">
        <is>
          <t>Cobertura</t>
        </is>
      </c>
      <c r="G121" s="8">
        <f>G29+G30+G31+G32+G33+G34+G35+G36+G37+G38</f>
        <v/>
      </c>
    </row>
    <row r="122" ht="15" customHeight="1" s="9">
      <c r="A122" s="8" t="inlineStr">
        <is>
          <t>Etapa 4.0</t>
        </is>
      </c>
      <c r="C122" s="8" t="inlineStr">
        <is>
          <t>Esquadrias</t>
        </is>
      </c>
      <c r="G122" s="8">
        <f>G40+G41+G42+G43+G44+G45+G46+G47</f>
        <v/>
      </c>
    </row>
    <row r="123" ht="15" customHeight="1" s="9">
      <c r="A123" s="8" t="inlineStr">
        <is>
          <t>Etapa 5.0</t>
        </is>
      </c>
      <c r="C123" s="8" t="inlineStr">
        <is>
          <t>Revestimentos</t>
        </is>
      </c>
      <c r="G123" s="8">
        <f>G49+G50+G51+G52</f>
        <v/>
      </c>
    </row>
    <row r="124" ht="15" customHeight="1" s="9">
      <c r="A124" s="8" t="inlineStr">
        <is>
          <t>Etapa 6.0</t>
        </is>
      </c>
      <c r="C124" s="8" t="inlineStr">
        <is>
          <t>Pisos</t>
        </is>
      </c>
      <c r="G124" s="8">
        <f>G54+G55+G56</f>
        <v/>
      </c>
    </row>
    <row r="125" ht="15" customHeight="1" s="9">
      <c r="A125" s="8" t="inlineStr">
        <is>
          <t>Etapa 7.0</t>
        </is>
      </c>
      <c r="C125" s="8" t="inlineStr">
        <is>
          <t>Instalacoes hidraulicas</t>
        </is>
      </c>
      <c r="G125" s="8">
        <f>G58+G59+G60+G61+G62+G63+G64+G65+G66+G67+G68+G69+G70+G71+G72+G73+G74</f>
        <v/>
      </c>
    </row>
    <row r="126" ht="15" customHeight="1" s="9">
      <c r="A126" s="8" t="inlineStr">
        <is>
          <t>Etapa 8.0</t>
        </is>
      </c>
      <c r="C126" s="8" t="inlineStr">
        <is>
          <t>Instalacoes eletricas</t>
        </is>
      </c>
      <c r="G126" s="8">
        <f>G76+G77+G78+G79+G80+G81+G82+G83+G84+G85+G86+G87+G88+G89+G90+G91+G92+G93+G94</f>
        <v/>
      </c>
    </row>
    <row r="127" ht="15" customHeight="1" s="9">
      <c r="A127" s="8" t="inlineStr">
        <is>
          <t>Etapa 9.0</t>
        </is>
      </c>
      <c r="C127" s="8" t="inlineStr">
        <is>
          <t>Pintura</t>
        </is>
      </c>
      <c r="G127" s="8">
        <f>G96+G97+G98+G99+G100</f>
        <v/>
      </c>
    </row>
    <row r="128" ht="15" customHeight="1" s="9">
      <c r="A128" s="8" t="inlineStr">
        <is>
          <t>Etapa 10.0</t>
        </is>
      </c>
      <c r="C128" s="8" t="inlineStr">
        <is>
          <t>Forro</t>
        </is>
      </c>
      <c r="G128" s="8">
        <f>G102+G103+G104</f>
        <v/>
      </c>
    </row>
    <row r="129" ht="15" customHeight="1" s="9">
      <c r="A129" s="8" t="inlineStr">
        <is>
          <t>Etapa 11.0</t>
        </is>
      </c>
      <c r="C129" s="8" t="inlineStr">
        <is>
          <t>Servicos complementares</t>
        </is>
      </c>
      <c r="G129" s="8">
        <f>G106+G107+G108+G109+G110+G111</f>
        <v/>
      </c>
    </row>
    <row r="130" ht="15" customHeight="1" s="9">
      <c r="A130" s="8" t="inlineStr">
        <is>
          <t>Etapa 12.0</t>
        </is>
      </c>
      <c r="C130" s="8" t="inlineStr">
        <is>
          <t>Mobilizacao/transporte/icamento</t>
        </is>
      </c>
      <c r="G130" s="8">
        <f>G113+G114+G115+G116</f>
        <v/>
      </c>
    </row>
    <row r="131" ht="15" customHeight="1" s="9">
      <c r="A131" s="8" t="inlineStr">
        <is>
          <t>Etapa 13.0 (Parede-Pronta R5)</t>
        </is>
      </c>
      <c r="G131" s="8">
        <f>SUM(G138:G144)</f>
        <v/>
      </c>
    </row>
    <row r="132" ht="15" customHeight="1" s="9">
      <c r="A132" s="15" t="inlineStr">
        <is>
          <t>TOTAL CUSTO DIRETO (sem fundacao)</t>
        </is>
      </c>
      <c r="G132" s="15">
        <f>G119+G120+G121+G122+G123+G124+G125+G126+G127+G128+G129+G130+G131</f>
        <v/>
      </c>
    </row>
    <row r="133" ht="15" customHeight="1" s="9">
      <c r="A133" s="8" t="inlineStr">
        <is>
          <t>BDI aplicado</t>
        </is>
      </c>
      <c r="G133" s="8" t="n">
        <v>0.258</v>
      </c>
    </row>
    <row r="134" ht="15" customHeight="1" s="9">
      <c r="A134" s="15" t="inlineStr">
        <is>
          <t>TOTAL GERAL COM BDI</t>
        </is>
      </c>
      <c r="G134" s="15">
        <f>G132*(1+G133)</f>
        <v/>
      </c>
    </row>
    <row r="135">
      <c r="A135" s="8" t="inlineStr">
        <is>
          <t>Custo por m2 (com BDI) — area construida R8: 75,24 m2 (2 modulos + recuos cobertos)</t>
        </is>
      </c>
      <c r="G135" s="8">
        <f>G134/75.24</f>
        <v/>
      </c>
    </row>
    <row r="137">
      <c r="A137" s="16" t="inlineStr">
        <is>
          <t>13.0 SISTEMA PAREDE-PRONTA R5 (itens novos)</t>
        </is>
      </c>
    </row>
    <row r="138">
      <c r="A138" s="8" t="inlineStr">
        <is>
          <t>13.1</t>
        </is>
      </c>
      <c r="B138" s="8" t="inlineStr">
        <is>
          <t>MTX-R5-01</t>
        </is>
      </c>
      <c r="C138" s="8" t="inlineStr">
        <is>
          <t>Guia-mestre GM-01 U110x40x3,0 galv. (54 m)</t>
        </is>
      </c>
      <c r="D138" s="8" t="inlineStr">
        <is>
          <t>kg</t>
        </is>
      </c>
      <c r="E138" s="8" t="n">
        <v>248</v>
      </c>
      <c r="F138" s="8" t="n">
        <v>9</v>
      </c>
      <c r="G138" s="8">
        <f>E138*F138</f>
        <v/>
      </c>
    </row>
    <row r="139">
      <c r="A139" s="8" t="inlineStr">
        <is>
          <t>13.2</t>
        </is>
      </c>
      <c r="B139" s="8" t="inlineStr">
        <is>
          <t>MTX-R5-02</t>
        </is>
      </c>
      <c r="C139" s="8" t="inlineStr">
        <is>
          <t>Guia-anel JP-04 U120x45x2,25 galv. (54 m)</t>
        </is>
      </c>
      <c r="D139" s="8" t="inlineStr">
        <is>
          <t>kg</t>
        </is>
      </c>
      <c r="E139" s="8" t="n">
        <v>211</v>
      </c>
      <c r="F139" s="8" t="n">
        <v>9</v>
      </c>
      <c r="G139" s="8">
        <f>E139*F139</f>
        <v/>
      </c>
    </row>
    <row r="140">
      <c r="A140" s="8" t="inlineStr">
        <is>
          <t>13.3</t>
        </is>
      </c>
      <c r="B140" s="8" t="inlineStr">
        <is>
          <t>MTX-R5-03</t>
        </is>
      </c>
      <c r="C140" s="8" t="inlineStr">
        <is>
          <t>Parabolt M10 + bucha quimica (GM-01 @600)</t>
        </is>
      </c>
      <c r="D140" s="8" t="inlineStr">
        <is>
          <t>un</t>
        </is>
      </c>
      <c r="E140" s="8" t="n">
        <v>96</v>
      </c>
      <c r="F140" s="8" t="n">
        <v>6.5</v>
      </c>
      <c r="G140" s="8">
        <f>E140*F140</f>
        <v/>
      </c>
    </row>
    <row r="141">
      <c r="A141" s="8" t="inlineStr">
        <is>
          <t>13.4</t>
        </is>
      </c>
      <c r="B141" s="8" t="inlineStr">
        <is>
          <t>MTX-R5-04</t>
        </is>
      </c>
      <c r="C141" s="8" t="inlineStr">
        <is>
          <t>Fita EPDM juncoes JP (bordas verticais)</t>
        </is>
      </c>
      <c r="D141" s="8" t="inlineStr">
        <is>
          <t>m</t>
        </is>
      </c>
      <c r="E141" s="8" t="n">
        <v>95</v>
      </c>
      <c r="F141" s="8" t="n">
        <v>4.2</v>
      </c>
      <c r="G141" s="8">
        <f>E141*F141</f>
        <v/>
      </c>
    </row>
    <row r="142">
      <c r="A142" s="8" t="inlineStr">
        <is>
          <t>13.5</t>
        </is>
      </c>
      <c r="B142" s="8" t="inlineStr">
        <is>
          <t>MTX-R5-05</t>
        </is>
      </c>
      <c r="C142" s="8" t="inlineStr">
        <is>
          <t>Selante PU + fundo de junta 25 mm (junta externa dupla-barreira)</t>
        </is>
      </c>
      <c r="D142" s="8" t="inlineStr">
        <is>
          <t>m</t>
        </is>
      </c>
      <c r="E142" s="8" t="n">
        <v>46</v>
      </c>
      <c r="F142" s="8" t="n">
        <v>12.5</v>
      </c>
      <c r="G142" s="8">
        <f>E142*F142</f>
        <v/>
      </c>
    </row>
    <row r="143">
      <c r="A143" s="8" t="inlineStr">
        <is>
          <t>13.6</t>
        </is>
      </c>
      <c r="B143" s="8" t="inlineStr">
        <is>
          <t>MTX-R5-06</t>
        </is>
      </c>
      <c r="C143" s="8" t="inlineStr">
        <is>
          <t>Parafusos M8 juncoes JP/anel (adicional ao kit PF)</t>
        </is>
      </c>
      <c r="D143" s="8" t="inlineStr">
        <is>
          <t>un</t>
        </is>
      </c>
      <c r="E143" s="8" t="n">
        <v>380</v>
      </c>
      <c r="F143" s="8" t="n">
        <v>0.85</v>
      </c>
      <c r="G143" s="8">
        <f>E143*F143</f>
        <v/>
      </c>
    </row>
    <row r="144">
      <c r="A144" s="8" t="inlineStr">
        <is>
          <t>13.7</t>
        </is>
      </c>
      <c r="B144" s="8" t="inlineStr">
        <is>
          <t>MTX-R5-07</t>
        </is>
      </c>
      <c r="C144" s="8" t="inlineStr">
        <is>
          <t>Olhais de icamento removiveis + chapas (pool rateado/casa)</t>
        </is>
      </c>
      <c r="D144" s="8" t="inlineStr">
        <is>
          <t>vb</t>
        </is>
      </c>
      <c r="E144" s="8" t="n">
        <v>1</v>
      </c>
      <c r="F144" s="8" t="n">
        <v>120</v>
      </c>
      <c r="G144" s="8">
        <f>E144*F144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8" min="1" max="1"/>
    <col width="52" customWidth="1" style="8" min="2" max="2"/>
    <col width="15" customWidth="1" style="8" min="3" max="4"/>
    <col width="12" customWidth="1" style="8" min="5" max="5"/>
    <col width="60" customWidth="1" style="8" min="6" max="6"/>
  </cols>
  <sheetData>
    <row r="1" ht="15" customHeight="1" s="9">
      <c r="A1" s="10" t="inlineStr">
        <is>
          <t>QUADRO DE DELTAS REV.10 -&gt; REV.11 (R8 - planta anotada)</t>
        </is>
      </c>
    </row>
    <row r="3" ht="15" customHeight="1" s="9">
      <c r="A3" s="12" t="inlineStr">
        <is>
          <t>Item</t>
        </is>
      </c>
      <c r="B3" s="12" t="inlineStr">
        <is>
          <t>Descricao</t>
        </is>
      </c>
      <c r="C3" s="12" t="inlineStr">
        <is>
          <t>Total REV.10 (R$)</t>
        </is>
      </c>
      <c r="D3" s="12" t="inlineStr">
        <is>
          <t>Total REV.11 (R$)</t>
        </is>
      </c>
      <c r="E3" s="12" t="inlineStr">
        <is>
          <t>Delta (R$)</t>
        </is>
      </c>
      <c r="F3" s="12" t="inlineStr">
        <is>
          <t>Justificativa</t>
        </is>
      </c>
    </row>
    <row r="4" ht="15" customHeight="1" s="9">
      <c r="A4" s="17" t="inlineStr">
        <is>
          <t>1.2</t>
        </is>
      </c>
      <c r="B4" s="17" t="inlineStr">
        <is>
          <t>Perfil U enrijecido (Ue) 100x50x17x2,0 mm — guias/ve</t>
        </is>
      </c>
      <c r="C4" s="17" t="n">
        <v>5945.4</v>
      </c>
      <c r="D4" s="17" t="n">
        <v>5152.5</v>
      </c>
      <c r="E4" s="17" t="n">
        <v>-792.9</v>
      </c>
      <c r="F4" s="17" t="inlineStr">
        <is>
          <t>Nesting R8 (13 barras): -88 kg — guias/ombreiras reorganizadas no novo layout</t>
        </is>
      </c>
    </row>
    <row r="5" ht="15" customHeight="1" s="9">
      <c r="A5" s="17" t="inlineStr">
        <is>
          <t>4.2</t>
        </is>
      </c>
      <c r="B5" s="17" t="inlineStr">
        <is>
          <t>Janela aluminio correr 2 folhas 1,00x1,00 (J05 cozin</t>
        </is>
      </c>
      <c r="C5" s="17" t="n">
        <v>545</v>
      </c>
      <c r="D5" s="17" t="n">
        <v>1090</v>
      </c>
      <c r="E5" s="17" t="n">
        <v>545</v>
      </c>
      <c r="F5" s="17" t="inlineStr">
        <is>
          <t>+1 un: J07 na lateral da sala (planta anotada)</t>
        </is>
      </c>
    </row>
    <row r="6" ht="15" customHeight="1" s="9">
      <c r="A6" s="17" t="inlineStr">
        <is>
          <t>7.1</t>
        </is>
      </c>
      <c r="B6" s="17" t="inlineStr">
        <is>
          <t>Tubo PVC soldavel DN25 agua fria</t>
        </is>
      </c>
      <c r="C6" s="17" t="n">
        <v>1059.75</v>
      </c>
      <c r="D6" s="17" t="n">
        <v>1199.25</v>
      </c>
      <c r="E6" s="17" t="n">
        <v>139.5</v>
      </c>
      <c r="F6" s="17" t="inlineStr">
        <is>
          <t>cluster esquerdo (cozinha+banheiro+lavanderia juntos) - modelo R8</t>
        </is>
      </c>
    </row>
    <row r="7" ht="15" customHeight="1" s="9">
      <c r="A7" s="17" t="inlineStr">
        <is>
          <t>8.5</t>
        </is>
      </c>
      <c r="B7" s="17" t="inlineStr">
        <is>
          <t>Eletroduto flexivel PVC DN25</t>
        </is>
      </c>
      <c r="C7" s="17" t="n">
        <v>1112.65</v>
      </c>
      <c r="D7" s="17" t="n">
        <v>935.85</v>
      </c>
      <c r="E7" s="17" t="n">
        <v>-176.8</v>
      </c>
      <c r="F7" s="17" t="inlineStr">
        <is>
          <t>-21 m: QD relocado p/ perto do cluster (modelo R8)</t>
        </is>
      </c>
    </row>
    <row r="8" ht="15" customHeight="1" s="9">
      <c r="A8" s="17" t="inlineStr">
        <is>
          <t>8.6</t>
        </is>
      </c>
      <c r="B8" s="17" t="inlineStr">
        <is>
          <t>Cabo flexivel 750V 2,5 mm²</t>
        </is>
      </c>
      <c r="C8" s="17" t="n">
        <v>1606.5</v>
      </c>
      <c r="D8" s="17" t="n">
        <v>1351.14</v>
      </c>
      <c r="E8" s="17" t="n">
        <v>-255.36</v>
      </c>
      <c r="F8" s="17" t="inlineStr">
        <is>
          <t>proporcional a 8.5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7" customWidth="1" style="9" min="1" max="1"/>
    <col width="44" customWidth="1" style="9" min="2" max="2"/>
    <col width="10" customWidth="1" style="9" min="3" max="3"/>
    <col width="10" customWidth="1" style="9" min="4" max="4"/>
    <col width="9" customWidth="1" style="9" min="5" max="5"/>
    <col width="12" customWidth="1" style="9" min="6" max="6"/>
    <col width="52" customWidth="1" style="9" min="7" max="7"/>
  </cols>
  <sheetData>
    <row r="1">
      <c r="A1" s="18" t="inlineStr">
        <is>
          <t>QUADRO DE DELTAS REV.11 -&gt; REV.12 (R4-2,60 + PAREDE-PRONTA R5) — por casa</t>
        </is>
      </c>
    </row>
    <row r="3">
      <c r="A3" s="19" t="inlineStr">
        <is>
          <t>Item</t>
        </is>
      </c>
      <c r="B3" s="19" t="inlineStr">
        <is>
          <t>Descricao</t>
        </is>
      </c>
      <c r="C3" s="19" t="inlineStr">
        <is>
          <t>Q. REV11</t>
        </is>
      </c>
      <c r="D3" s="19" t="inlineStr">
        <is>
          <t>Q. REV12</t>
        </is>
      </c>
      <c r="E3" s="19" t="inlineStr">
        <is>
          <t>P.Unit</t>
        </is>
      </c>
      <c r="F3" s="19" t="inlineStr">
        <is>
          <t>Delta (R$)</t>
        </is>
      </c>
      <c r="G3" s="19" t="inlineStr">
        <is>
          <t>Justificativa</t>
        </is>
      </c>
    </row>
    <row r="4">
      <c r="A4" s="8" t="inlineStr">
        <is>
          <t>2.1</t>
        </is>
      </c>
      <c r="B4" s="8" t="inlineStr">
        <is>
          <t>Painel sanduiche PIR 70 mm — paredes externas</t>
        </is>
      </c>
      <c r="C4" s="8" t="n">
        <v>130.3</v>
      </c>
      <c r="D4" s="8" t="n">
        <v>119.4</v>
      </c>
      <c r="E4" s="8" t="n">
        <v>215</v>
      </c>
      <c r="F4" s="8" t="n">
        <v>-2343.5</v>
      </c>
      <c r="G4" s="8" t="inlineStr">
        <is>
          <t>R4: paredes 3,00-&gt;2,85 (-10,9 m2 PIR externo)</t>
        </is>
      </c>
    </row>
    <row r="5">
      <c r="A5" s="8" t="inlineStr">
        <is>
          <t>2.2</t>
        </is>
      </c>
      <c r="B5" s="8" t="inlineStr">
        <is>
          <t>Painel sanduiche PIR 70 mm — paredes internas/junta</t>
        </is>
      </c>
      <c r="C5" s="8" t="n">
        <v>71.7</v>
      </c>
      <c r="D5" s="8" t="n">
        <v>68.3</v>
      </c>
      <c r="E5" s="8" t="n">
        <v>205</v>
      </c>
      <c r="F5" s="8" t="n">
        <v>-697</v>
      </c>
      <c r="G5" s="8" t="inlineStr">
        <is>
          <t>R4: internas 2,85 (-3,4 m2)</t>
        </is>
      </c>
    </row>
    <row r="6">
      <c r="A6" s="8" t="inlineStr">
        <is>
          <t>2.3</t>
        </is>
      </c>
      <c r="B6" s="8" t="inlineStr">
        <is>
          <t>Placa cimenticia 8 mm — face externa</t>
        </is>
      </c>
      <c r="C6" s="8" t="n">
        <v>130.3</v>
      </c>
      <c r="D6" s="8" t="n">
        <v>120.6</v>
      </c>
      <c r="E6" s="8" t="n">
        <v>68</v>
      </c>
      <c r="F6" s="8" t="n">
        <v>-659.6</v>
      </c>
      <c r="G6" s="8" t="inlineStr">
        <is>
          <t>R4: PTB 0,60-&gt;0,33 (-9,7 m2 cimenticia)</t>
        </is>
      </c>
    </row>
    <row r="7">
      <c r="A7" s="8" t="inlineStr">
        <is>
          <t>2.4</t>
        </is>
      </c>
      <c r="B7" s="8" t="inlineStr">
        <is>
          <t>Gesso acartonado ST 12,5 mm — faces internas</t>
        </is>
      </c>
      <c r="C7" s="8" t="n">
        <v>237.5</v>
      </c>
      <c r="D7" s="8" t="n">
        <v>228</v>
      </c>
      <c r="E7" s="8" t="n">
        <v>48</v>
      </c>
      <c r="F7" s="8" t="n">
        <v>-456</v>
      </c>
      <c r="G7" s="8" t="inlineStr">
        <is>
          <t>R4: gesso acompanha parede (-9,5 m2)</t>
        </is>
      </c>
    </row>
    <row r="8">
      <c r="A8" s="8" t="inlineStr">
        <is>
          <t>5.3</t>
        </is>
      </c>
      <c r="B8" s="8" t="inlineStr">
        <is>
          <t>Massa corrida PVA — paredes internas</t>
        </is>
      </c>
      <c r="C8" s="8" t="n">
        <v>284</v>
      </c>
      <c r="D8" s="8" t="n">
        <v>274.5</v>
      </c>
      <c r="E8" s="8" t="n">
        <v>18.5</v>
      </c>
      <c r="F8" s="8" t="n">
        <v>-175.75</v>
      </c>
      <c r="G8" s="8" t="inlineStr">
        <is>
          <t>R4: massa acompanha gesso</t>
        </is>
      </c>
    </row>
    <row r="9">
      <c r="A9" s="8" t="inlineStr">
        <is>
          <t>9.1</t>
        </is>
      </c>
      <c r="B9" s="8" t="inlineStr">
        <is>
          <t>Selador acrilico paredes internas</t>
        </is>
      </c>
      <c r="C9" s="8" t="n">
        <v>284</v>
      </c>
      <c r="D9" s="8" t="n">
        <v>274.5</v>
      </c>
      <c r="E9" s="8" t="n">
        <v>8.5</v>
      </c>
      <c r="F9" s="8" t="n">
        <v>-80.75</v>
      </c>
      <c r="G9" s="8" t="inlineStr">
        <is>
          <t>R4: selador interno idem</t>
        </is>
      </c>
    </row>
    <row r="10">
      <c r="A10" s="8" t="inlineStr">
        <is>
          <t>1.1</t>
        </is>
      </c>
      <c r="B10" s="8" t="inlineStr">
        <is>
          <t>Perfil metalon BZ quadrado 70x70 mm chapa #14 galvanizado</t>
        </is>
      </c>
      <c r="C10" s="8" t="n">
        <v>584.6</v>
      </c>
      <c r="D10" s="8" t="n">
        <v>738.6</v>
      </c>
      <c r="E10" s="8" t="n">
        <v>9</v>
      </c>
      <c r="F10" s="8" t="n">
        <v>1386</v>
      </c>
      <c r="G10" s="8" t="inlineStr">
        <is>
          <t>R5: +18 montantes de extremidade (JP) = +154 kg</t>
        </is>
      </c>
    </row>
    <row r="11">
      <c r="A11" s="8" t="inlineStr">
        <is>
          <t>1.2</t>
        </is>
      </c>
      <c r="B11" s="8" t="inlineStr">
        <is>
          <t>Perfil U enrijecido (Ue) 100x50x17x2,0 mm — guias/vergas</t>
        </is>
      </c>
      <c r="C11" s="8" t="n">
        <v>572.5</v>
      </c>
      <c r="D11" s="8" t="n">
        <v>572.5</v>
      </c>
      <c r="E11" s="8" t="n">
        <v>9</v>
      </c>
      <c r="F11" s="8" t="n">
        <v>0</v>
      </c>
      <c r="G11" s="8" t="inlineStr">
        <is>
          <t>guias por parede: liquido ~neutro (contabilizado no 1.1/novos)</t>
        </is>
      </c>
    </row>
    <row r="12">
      <c r="A12" s="8" t="inlineStr">
        <is>
          <t>12.1</t>
        </is>
      </c>
      <c r="B12" s="8" t="inlineStr">
        <is>
          <t>Guia-mestre GM-01 U110x40x3,0 galv. (54 m)</t>
        </is>
      </c>
      <c r="C12" s="8" t="n">
        <v>0</v>
      </c>
      <c r="D12" s="8" t="n">
        <v>248</v>
      </c>
      <c r="E12" s="8" t="n">
        <v>9</v>
      </c>
      <c r="F12" s="8" t="n">
        <v>2232</v>
      </c>
      <c r="G12" s="8" t="inlineStr">
        <is>
          <t>R5: item novo (parede-pronta)</t>
        </is>
      </c>
    </row>
    <row r="13">
      <c r="A13" s="8" t="inlineStr">
        <is>
          <t>12.2</t>
        </is>
      </c>
      <c r="B13" s="8" t="inlineStr">
        <is>
          <t>Guia-anel JP-04 U120x45x2,25 galv. (54 m)</t>
        </is>
      </c>
      <c r="C13" s="8" t="n">
        <v>0</v>
      </c>
      <c r="D13" s="8" t="n">
        <v>211</v>
      </c>
      <c r="E13" s="8" t="n">
        <v>9</v>
      </c>
      <c r="F13" s="8" t="n">
        <v>1899</v>
      </c>
      <c r="G13" s="8" t="inlineStr">
        <is>
          <t>R5: item novo (parede-pronta)</t>
        </is>
      </c>
    </row>
    <row r="14">
      <c r="A14" s="8" t="inlineStr">
        <is>
          <t>12.3</t>
        </is>
      </c>
      <c r="B14" s="8" t="inlineStr">
        <is>
          <t>Parabolt M10 + bucha quimica (GM-01 @600)</t>
        </is>
      </c>
      <c r="C14" s="8" t="n">
        <v>0</v>
      </c>
      <c r="D14" s="8" t="n">
        <v>96</v>
      </c>
      <c r="E14" s="8" t="n">
        <v>6.5</v>
      </c>
      <c r="F14" s="8" t="n">
        <v>624</v>
      </c>
      <c r="G14" s="8" t="inlineStr">
        <is>
          <t>R5: item novo (parede-pronta)</t>
        </is>
      </c>
    </row>
    <row r="15">
      <c r="A15" s="8" t="inlineStr">
        <is>
          <t>12.4</t>
        </is>
      </c>
      <c r="B15" s="8" t="inlineStr">
        <is>
          <t>Fita EPDM juncoes JP (bordas verticais)</t>
        </is>
      </c>
      <c r="C15" s="8" t="n">
        <v>0</v>
      </c>
      <c r="D15" s="8" t="n">
        <v>95</v>
      </c>
      <c r="E15" s="8" t="n">
        <v>4.2</v>
      </c>
      <c r="F15" s="8" t="n">
        <v>399</v>
      </c>
      <c r="G15" s="8" t="inlineStr">
        <is>
          <t>R5: item novo (parede-pronta)</t>
        </is>
      </c>
    </row>
    <row r="16">
      <c r="A16" s="8" t="inlineStr">
        <is>
          <t>12.5</t>
        </is>
      </c>
      <c r="B16" s="8" t="inlineStr">
        <is>
          <t>Selante PU + fundo de junta 25 mm (junta externa dupla-barreira)</t>
        </is>
      </c>
      <c r="C16" s="8" t="n">
        <v>0</v>
      </c>
      <c r="D16" s="8" t="n">
        <v>46</v>
      </c>
      <c r="E16" s="8" t="n">
        <v>12.5</v>
      </c>
      <c r="F16" s="8" t="n">
        <v>575</v>
      </c>
      <c r="G16" s="8" t="inlineStr">
        <is>
          <t>R5: item novo (parede-pronta)</t>
        </is>
      </c>
    </row>
    <row r="17">
      <c r="A17" s="8" t="inlineStr">
        <is>
          <t>12.6</t>
        </is>
      </c>
      <c r="B17" s="8" t="inlineStr">
        <is>
          <t>Parafusos M8 juncoes JP/anel (adicional ao kit PF)</t>
        </is>
      </c>
      <c r="C17" s="8" t="n">
        <v>0</v>
      </c>
      <c r="D17" s="8" t="n">
        <v>380</v>
      </c>
      <c r="E17" s="8" t="n">
        <v>0.85</v>
      </c>
      <c r="F17" s="8" t="n">
        <v>323</v>
      </c>
      <c r="G17" s="8" t="inlineStr">
        <is>
          <t>R5: item novo (parede-pronta)</t>
        </is>
      </c>
    </row>
    <row r="18">
      <c r="A18" s="8" t="inlineStr">
        <is>
          <t>12.7</t>
        </is>
      </c>
      <c r="B18" s="8" t="inlineStr">
        <is>
          <t>Olhais de icamento removiveis + chapas (pool rateado/casa)</t>
        </is>
      </c>
      <c r="C18" s="8" t="n">
        <v>0</v>
      </c>
      <c r="D18" s="8" t="n">
        <v>1</v>
      </c>
      <c r="E18" s="8" t="n">
        <v>120</v>
      </c>
      <c r="F18" s="8" t="n">
        <v>120</v>
      </c>
      <c r="G18" s="8" t="inlineStr">
        <is>
          <t>R5: item novo (parede-pronta)</t>
        </is>
      </c>
    </row>
    <row r="20">
      <c r="E20" s="16" t="inlineStr">
        <is>
          <t>TOTAL DELTA/casa:</t>
        </is>
      </c>
      <c r="F20" s="20" t="n">
        <v>3145.4</v>
      </c>
    </row>
    <row r="21">
      <c r="E21" s="16" t="inlineStr">
        <is>
          <t>x300 casas:</t>
        </is>
      </c>
      <c r="F21" s="20" t="n">
        <v>943620</v>
      </c>
    </row>
    <row r="23">
      <c r="A23" s="21" t="inlineStr">
        <is>
          <t>NOTA: delta liquido de MATERIAL. Ganhos de PROCESSO (-R$3,4k), acabamento de campo (-R$2,5k) e diluicao de fixo (-R$5,0k) sao operacionais e nao entram no analitico de material — ver Estudo de Viabilidade R5 pag.11. Saldo total do sistema: ~-R$6,0k/casa.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QUADRO DE DELTAS REV.12 -&gt; REV.13 (R13 — quadro só requadro / painel PIR autoportante)</t>
        </is>
      </c>
    </row>
    <row r="3">
      <c r="A3" s="8" t="inlineStr">
        <is>
          <t>Item</t>
        </is>
      </c>
      <c r="B3" s="8" t="inlineStr">
        <is>
          <t>Descricao</t>
        </is>
      </c>
      <c r="C3" s="8" t="inlineStr">
        <is>
          <t>Q. REV12</t>
        </is>
      </c>
      <c r="D3" s="8" t="inlineStr">
        <is>
          <t>Q. REV13</t>
        </is>
      </c>
      <c r="E3" s="8" t="inlineStr">
        <is>
          <t>P.Unit</t>
        </is>
      </c>
      <c r="F3" s="8" t="inlineStr">
        <is>
          <t>Delta (R$)</t>
        </is>
      </c>
      <c r="G3" s="8" t="inlineStr">
        <is>
          <t>Justificativa</t>
        </is>
      </c>
    </row>
    <row r="4">
      <c r="A4" s="8" t="inlineStr">
        <is>
          <t>1.1</t>
        </is>
      </c>
      <c r="B4" s="8" t="inlineStr">
        <is>
          <t>Perfil metalon BZ 70x70 #14 galvanizado (kg)</t>
        </is>
      </c>
      <c r="C4" s="8" t="n">
        <v>738.6</v>
      </c>
      <c r="D4" s="8" t="n">
        <v>738.6</v>
      </c>
      <c r="E4" s="8" t="n">
        <v>9</v>
      </c>
      <c r="F4" s="8" t="n">
        <v>0</v>
      </c>
      <c r="G4" s="8" t="inlineStr">
        <is>
          <t>sem alteração — aba 01 R12 já continha apenas 18 montantes de extremidade (10 cantos + 4 borda junta + 4 ombreiras)</t>
        </is>
      </c>
    </row>
    <row r="5">
      <c r="A5" s="8" t="inlineStr">
        <is>
          <t>1.2</t>
        </is>
      </c>
      <c r="B5" s="8" t="inlineStr">
        <is>
          <t>Perfil U enrijecido 100x50x17x2,0 — guias do requadro (kg)</t>
        </is>
      </c>
      <c r="C5" s="8" t="n">
        <v>572.5</v>
      </c>
      <c r="D5" s="8" t="n">
        <v>572.5</v>
      </c>
      <c r="E5" s="8" t="n">
        <v>9</v>
      </c>
      <c r="F5" s="8" t="n">
        <v>0</v>
      </c>
      <c r="G5" s="8" t="inlineStr">
        <is>
          <t>sem alteração — descrição corrigida (não há vergas no sistema R13)</t>
        </is>
      </c>
    </row>
    <row r="6">
      <c r="A6" s="8" t="inlineStr">
        <is>
          <t>1.9</t>
        </is>
      </c>
      <c r="B6" s="8" t="inlineStr">
        <is>
          <t>Conjunto parafusos estruturais (verba)</t>
        </is>
      </c>
      <c r="C6" s="8" t="n">
        <v>1</v>
      </c>
      <c r="D6" s="8" t="n">
        <v>1</v>
      </c>
      <c r="E6" s="8" t="n">
        <v>1450</v>
      </c>
      <c r="F6" s="8" t="n">
        <v>0</v>
      </c>
      <c r="G6" s="8" t="inlineStr">
        <is>
          <t>PF-3 cai de 206 para 152 un/casa (-54 un: eliminadas fixações de montantes de vão) — dentro da verba; recontar no kit QR</t>
        </is>
      </c>
    </row>
    <row r="7">
      <c r="A7" s="8" t="inlineStr">
        <is>
          <t>—</t>
        </is>
      </c>
      <c r="B7" s="8" t="inlineStr">
        <is>
          <t>Fichas de fabricação (02_FICHAS_SKU)</t>
        </is>
      </c>
      <c r="C7" s="8" t="inlineStr">
        <is>
          <t>R12</t>
        </is>
      </c>
      <c r="D7" s="8" t="inlineStr">
        <is>
          <t>R13</t>
        </is>
      </c>
      <c r="E7" s="8" t="inlineStr">
        <is>
          <t>—</t>
        </is>
      </c>
      <c r="F7" s="8" t="n">
        <v>0</v>
      </c>
      <c r="G7" s="8" t="inlineStr">
        <is>
          <t>W1 reescrita: guias do requadro contornando painéis; vãos com requadro alumínio; correções aba 08→fichas (J04 em F5-B; PI3/PI2 em IA1/IA2)</t>
        </is>
      </c>
    </row>
    <row r="9">
      <c r="A9" s="8" t="inlineStr"/>
      <c r="B9" s="8" t="inlineStr"/>
      <c r="C9" s="8" t="inlineStr"/>
      <c r="D9" s="8" t="inlineStr"/>
      <c r="E9" s="8" t="inlineStr">
        <is>
          <t>TOTAL DELTA/casa:</t>
        </is>
      </c>
      <c r="F9" s="8" t="n">
        <v>0</v>
      </c>
      <c r="G9" s="8" t="inlineStr"/>
    </row>
    <row r="10">
      <c r="A10" s="8" t="inlineStr"/>
      <c r="B10" s="8" t="inlineStr"/>
      <c r="C10" s="8" t="inlineStr"/>
      <c r="D10" s="8" t="inlineStr"/>
      <c r="E10" s="8" t="inlineStr">
        <is>
          <t>x300 casas:</t>
        </is>
      </c>
      <c r="F10" s="8" t="n">
        <v>0</v>
      </c>
      <c r="G10" s="8" t="inlineStr"/>
    </row>
    <row r="12">
      <c r="A12" s="8" t="inlineStr">
        <is>
          <t>NOTA: R13 é revisão de ALINHAMENTO DOCUMENTAL. Ganho real é de PROCESSO na estação W1 (corte/fixação de até 40 montantes fantasma por casa que as fichas R12 mandavam fabricar sem estarem no romaneio de corte) e de rastreabilidade contador×kit (item 3 do piloto).</t>
        </is>
      </c>
    </row>
    <row r="13">
      <c r="A13" s="8" t="inlineStr">
        <is>
          <t>CONDICIONANTE MANTIDA: validação DATec SINAT nº 10 (painel portante) + memorial revisado com ART antes da produção em série (C1).</t>
        </is>
      </c>
    </row>
    <row r="14">
      <c r="A14" t="inlineStr">
        <is>
          <t>12.8</t>
        </is>
      </c>
      <c r="B14" t="inlineStr">
        <is>
          <t>Chapas de espera CHP-T/CHP-C #4,75 galv. (140 un ≈ 40 kg)</t>
        </is>
      </c>
      <c r="C14" t="n">
        <v>0</v>
      </c>
      <c r="D14" t="n">
        <v>40</v>
      </c>
      <c r="E14" t="n">
        <v>9</v>
      </c>
      <c r="F14" t="n">
        <v>360</v>
      </c>
      <c r="G14" t="inlineStr">
        <is>
          <t>R13.2: peça nova — junções JP-02/JP-03 sem montante intermediário</t>
        </is>
      </c>
    </row>
    <row r="15">
      <c r="A15" t="inlineStr">
        <is>
          <t>12.9</t>
        </is>
      </c>
      <c r="B15" t="inlineStr">
        <is>
          <t>Porca-rebite M8 (280 un) + rebites Ø4,8 posicionamento</t>
        </is>
      </c>
      <c r="C15" t="n">
        <v>0</v>
      </c>
      <c r="D15" t="n">
        <v>1</v>
      </c>
      <c r="E15" t="n">
        <v>420</v>
      </c>
      <c r="F15" t="n">
        <v>420</v>
      </c>
      <c r="G15" t="inlineStr">
        <is>
          <t>R13.2: kit de esperas (fábrica) — cravação na W1-A/W2</t>
        </is>
      </c>
    </row>
    <row r="16">
      <c r="A16" t="inlineStr"/>
      <c r="B16" t="inlineStr"/>
      <c r="C16" t="inlineStr"/>
      <c r="D16" t="inlineStr"/>
      <c r="E16" t="inlineStr">
        <is>
          <t>TOTAL DELTA R13.2:</t>
        </is>
      </c>
      <c r="F16" t="n">
        <v>780</v>
      </c>
      <c r="G16" t="inlineStr">
        <is>
          <t>material ~R$ 780/casa — sujeito a validação de engenharia (C1)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2026-07-02T16:42:36Z</dcterms:created>
  <dcterms:modified xmlns:dcterms="http://purl.org/dc/terms/" xmlns:xsi="http://www.w3.org/2001/XMLSchema-instance" xsi:type="dcterms:W3CDTF">2026-07-06T17:39:45Z</dcterms:modified>
  <cp:revision>0</cp:revision>
</cp:coreProperties>
</file>